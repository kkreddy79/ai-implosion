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cker" sheetId="2" state="visible" r:id="rId2"/>
    <sheet name="History" sheetId="3" state="visible" r:id="rId3"/>
    <sheet name="Chart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-mmm-yyyy"/>
    <numFmt numFmtId="166" formatCode="0.0%"/>
    <numFmt numFmtId="167" formatCode="+#,##0"/>
    <numFmt numFmtId="168" formatCode="+#,##0;-#,##0;0"/>
    <numFmt numFmtId="169" formatCode="+0.0%"/>
    <numFmt numFmtId="170" formatCode="dd-mmm"/>
    <numFmt numFmtId="171" formatCode="dd-mmm-yy"/>
  </numFmts>
  <fonts count="19">
    <font>
      <name val="Calibri"/>
      <family val="2"/>
      <color theme="1"/>
      <sz val="11"/>
      <scheme val="minor"/>
    </font>
    <font>
      <name val="Arial"/>
      <b val="1"/>
      <color rgb="0016A34A"/>
    </font>
    <font>
      <name val="Arial"/>
      <i val="1"/>
      <color rgb="00475569"/>
      <sz val="9"/>
    </font>
    <font>
      <name val="Arial"/>
      <b val="1"/>
      <color rgb="00FFFFFF"/>
    </font>
    <font>
      <name val="Arial"/>
      <b val="1"/>
      <color rgb="00FFFFFF"/>
      <sz val="22"/>
    </font>
    <font>
      <name val="Arial"/>
      <i val="1"/>
      <color rgb="0064748B"/>
      <sz val="9"/>
    </font>
    <font>
      <name val="Arial"/>
      <color rgb="00334155"/>
      <sz val="11"/>
    </font>
    <font>
      <name val="Arial"/>
      <b val="1"/>
      <color rgb="0064748B"/>
      <sz val="9"/>
    </font>
    <font>
      <name val="Arial"/>
      <b val="1"/>
      <color rgb="001E293B"/>
      <sz val="18"/>
    </font>
    <font>
      <name val="Arial"/>
      <color rgb="0064748B"/>
      <sz val="9"/>
    </font>
    <font>
      <name val="Arial"/>
      <b val="1"/>
      <color rgb="001E293B"/>
      <sz val="13"/>
    </font>
    <font>
      <name val="Arial"/>
      <b val="1"/>
      <color rgb="001E293B"/>
      <sz val="11"/>
    </font>
    <font>
      <name val="Arial"/>
      <b val="1"/>
      <color rgb="00FFFFFF"/>
      <sz val="9"/>
    </font>
    <font>
      <name val="Arial"/>
      <sz val="10"/>
    </font>
    <font>
      <name val="Arial"/>
      <b val="1"/>
      <sz val="9"/>
    </font>
    <font>
      <name val="Arial"/>
      <b val="1"/>
      <color rgb="001E293B"/>
      <sz val="16"/>
    </font>
    <font>
      <name val="Arial"/>
      <b val="1"/>
    </font>
    <font>
      <name val="Arial"/>
    </font>
    <font>
      <name val="Arial"/>
      <b val="1"/>
      <color rgb="00EF4444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4" fillId="2" borderId="0" applyAlignment="1" pivotButton="0" quotePrefix="0" xfId="0">
      <alignment vertical="center" indent="1"/>
    </xf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0" fillId="4" borderId="0" pivotButton="0" quotePrefix="0" xfId="0"/>
    <xf numFmtId="1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49" fontId="13" fillId="0" borderId="1" applyAlignment="1" pivotButton="0" quotePrefix="0" xfId="0">
      <alignment horizontal="left"/>
    </xf>
    <xf numFmtId="9" fontId="13" fillId="3" borderId="1" applyAlignment="1" applyProtection="1" pivotButton="0" quotePrefix="0" xfId="0">
      <alignment horizontal="center"/>
      <protection locked="0" hidden="0"/>
    </xf>
    <xf numFmtId="4" fontId="13" fillId="0" borderId="1" applyAlignment="1" pivotButton="0" quotePrefix="0" xfId="0">
      <alignment horizontal="center"/>
    </xf>
    <xf numFmtId="166" fontId="13" fillId="0" borderId="1" applyAlignment="1" pivotButton="0" quotePrefix="0" xfId="0">
      <alignment horizontal="center"/>
    </xf>
    <xf numFmtId="9" fontId="13" fillId="0" borderId="1" applyAlignment="1" pivotButton="0" quotePrefix="0" xfId="0">
      <alignment horizontal="center"/>
    </xf>
    <xf numFmtId="49" fontId="13" fillId="0" borderId="1" applyAlignment="1" pivotButton="0" quotePrefix="0" xfId="0">
      <alignment horizontal="center"/>
    </xf>
    <xf numFmtId="167" fontId="13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center"/>
    </xf>
    <xf numFmtId="168" fontId="13" fillId="0" borderId="1" applyAlignment="1" pivotButton="0" quotePrefix="0" xfId="0">
      <alignment horizontal="center"/>
    </xf>
    <xf numFmtId="3" fontId="13" fillId="3" borderId="1" applyAlignment="1" applyProtection="1" pivotButton="0" quotePrefix="0" xfId="0">
      <alignment horizontal="center"/>
      <protection locked="0" hidden="0"/>
    </xf>
    <xf numFmtId="167" fontId="13" fillId="3" borderId="1" applyAlignment="1" applyProtection="1" pivotButton="0" quotePrefix="0" xfId="0">
      <alignment horizontal="center"/>
      <protection locked="0" hidden="0"/>
    </xf>
    <xf numFmtId="0" fontId="14" fillId="0" borderId="0" pivotButton="0" quotePrefix="0" xfId="0"/>
    <xf numFmtId="9" fontId="1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165" fontId="17" fillId="0" borderId="0" pivotButton="0" quotePrefix="0" xfId="0"/>
    <xf numFmtId="1" fontId="17" fillId="0" borderId="0" pivotButton="0" quotePrefix="0" xfId="0"/>
    <xf numFmtId="49" fontId="17" fillId="0" borderId="0" pivotButton="0" quotePrefix="0" xfId="0"/>
    <xf numFmtId="0" fontId="3" fillId="2" borderId="1" pivotButton="0" quotePrefix="0" xfId="0"/>
    <xf numFmtId="0" fontId="17" fillId="0" borderId="1" pivotButton="0" quotePrefix="0" xfId="0"/>
    <xf numFmtId="165" fontId="17" fillId="0" borderId="1" pivotButton="0" quotePrefix="0" xfId="0"/>
    <xf numFmtId="0" fontId="18" fillId="0" borderId="0" pivotButton="0" quotePrefix="0" xfId="0"/>
    <xf numFmtId="165" fontId="18" fillId="0" borderId="0" pivotButton="0" quotePrefix="0" xfId="0"/>
    <xf numFmtId="169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4" fontId="0" fillId="3" borderId="0" pivotButton="0" quotePrefix="0" xfId="0"/>
    <xf numFmtId="3" fontId="0" fillId="3" borderId="0" pivotButton="0" quotePrefix="0" xfId="0"/>
    <xf numFmtId="9" fontId="0" fillId="0" borderId="0" pivotButton="0" quotePrefix="0" xfId="0"/>
    <xf numFmtId="1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dxfs count="8">
    <dxf>
      <font>
        <name val="Arial"/>
        <b val="1"/>
        <color rgb="00EF4444"/>
        <sz val="18"/>
      </font>
    </dxf>
    <dxf>
      <font>
        <name val="Arial"/>
        <b val="1"/>
        <color rgb="00EA580C"/>
        <sz val="18"/>
      </font>
    </dxf>
    <dxf>
      <font>
        <name val="Arial"/>
        <b val="1"/>
        <color rgb="00D97706"/>
        <sz val="18"/>
      </font>
    </dxf>
    <dxf>
      <font>
        <name val="Arial"/>
        <b val="1"/>
        <color rgb="0016A34A"/>
        <sz val="18"/>
      </font>
    </dxf>
    <dxf>
      <font>
        <name val="Arial"/>
        <b val="1"/>
        <color rgb="00FFFFFF"/>
      </font>
      <fill>
        <patternFill patternType="solid">
          <fgColor rgb="00EF4444"/>
          <bgColor rgb="00EF4444"/>
        </patternFill>
      </fill>
    </dxf>
    <dxf>
      <fill>
        <patternFill patternType="solid">
          <fgColor rgb="00FED7AA"/>
          <bgColor rgb="00FED7AA"/>
        </patternFill>
      </fill>
    </dxf>
    <dxf>
      <fill>
        <patternFill patternType="solid">
          <fgColor rgb="00FEF9C3"/>
          <bgColor rgb="00FEF9C3"/>
        </patternFill>
      </fill>
    </dxf>
    <dxf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Factor stress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'ChartData'!B1</f>
            </strRef>
          </tx>
          <spPr>
            <a:solidFill>
              <a:srgbClr val="6366F1"/>
            </a:solidFill>
            <a:ln>
              <a:prstDash val="solid"/>
            </a:ln>
          </spPr>
          <cat>
            <numRef>
              <f>'ChartData'!$A$2:$A$10</f>
            </numRef>
          </cat>
          <val>
            <numRef>
              <f>'ChartData'!$B$2:$B$10</f>
            </numRef>
          </val>
        </ser>
        <dLbls>
          <numFmt formatCode="0%"/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Stress Score (0–100)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EF4444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E2E8F0"/>
              </a:solidFill>
              <a:ln>
                <a:noFill/>
                <a:prstDash val="solid"/>
              </a:ln>
            </spPr>
          </dPt>
          <dPt>
            <idx val="2"/>
            <spPr>
              <a:noFill/>
              <a:ln>
                <a:noFill/>
                <a:prstDash val="solid"/>
              </a:ln>
            </spPr>
          </dPt>
          <cat>
            <numRef>
              <f>'ChartData'!$D$2:$D$4</f>
            </numRef>
          </cat>
          <val>
            <numRef>
              <f>'ChartData'!$E$2:$E$4</f>
            </numRef>
          </val>
        </ser>
        <firstSliceAng val="270"/>
        <holeSize val="60"/>
      </doughnut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Pillars &amp; Score — last 52 weeks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'ChartData'!K1</f>
            </strRef>
          </tx>
          <spPr>
            <a:ln w="15000">
              <a:solidFill>
                <a:srgbClr val="6366F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'ChartData'!$J$2:$J$263</f>
            </numRef>
          </cat>
          <val>
            <numRef>
              <f>'ChartData'!$K$2:$K$263</f>
            </numRef>
          </val>
          <smooth val="0"/>
        </ser>
        <ser>
          <idx val="1"/>
          <order val="1"/>
          <tx>
            <strRef>
              <f>'ChartData'!L1</f>
            </strRef>
          </tx>
          <spPr>
            <a:ln w="15000">
              <a:solidFill>
                <a:srgbClr val="F59E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'ChartData'!$J$2:$J$263</f>
            </numRef>
          </cat>
          <val>
            <numRef>
              <f>'ChartData'!$L$2:$L$263</f>
            </numRef>
          </val>
          <smooth val="0"/>
        </ser>
        <ser>
          <idx val="2"/>
          <order val="2"/>
          <tx>
            <strRef>
              <f>'ChartData'!M1</f>
            </strRef>
          </tx>
          <spPr>
            <a:ln w="15000">
              <a:solidFill>
                <a:srgbClr val="14B8A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'ChartData'!$J$2:$J$263</f>
            </numRef>
          </cat>
          <val>
            <numRef>
              <f>'ChartData'!$M$2:$M$263</f>
            </numRef>
          </val>
          <smooth val="0"/>
        </ser>
        <ser>
          <idx val="3"/>
          <order val="3"/>
          <tx>
            <strRef>
              <f>'ChartData'!N1</f>
            </strRef>
          </tx>
          <spPr>
            <a:ln w="28000">
              <a:solidFill>
                <a:srgbClr val="EF444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'ChartData'!$J$2:$J$263</f>
            </numRef>
          </cat>
          <val>
            <numRef>
              <f>'ChartData'!$N$2:$N$263</f>
            </numRef>
          </val>
          <smooth val="0"/>
        </ser>
        <axId val="10"/>
        <axId val="100"/>
      </lineChart>
      <catAx>
        <axId val="10"/>
        <scaling>
          <orientation val="maxMin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21"/>
        <tickMarkSkip val="21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crossAx val="10"/>
        <crosses val="max"/>
        <majorUnit val="25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high score — 26 weeks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'ChartData'!H1</f>
            </strRef>
          </tx>
          <spPr>
            <a:solidFill>
              <a:srgbClr val="D97706"/>
            </a:solidFill>
            <a:ln>
              <a:prstDash val="solid"/>
            </a:ln>
          </spPr>
          <cat>
            <numRef>
              <f>'ChartData'!$G$2:$G$27</f>
            </numRef>
          </cat>
          <val>
            <numRef>
              <f>'ChartData'!$H$2:$H$27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crossAx val="10"/>
        <crosses val="max"/>
        <majorUnit val="25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42</row>
      <rowOff>0</rowOff>
    </from>
    <ext cx="86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60</row>
      <rowOff>0</rowOff>
    </from>
    <ext cx="86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istory" displayName="tblHistory" ref="A3:AE754" headerRowCount="1">
  <autoFilter ref="A3:AE754"/>
  <tableColumns count="31">
    <tableColumn id="1" name="Date"/>
    <tableColumn id="2" name="NDX"/>
    <tableColumn id="3" name="SOX"/>
    <tableColumn id="4" name="AIQ"/>
    <tableColumn id="5" name="DTCR"/>
    <tableColumn id="6" name="BBB"/>
    <tableColumn id="7" name="CCC"/>
    <tableColumn id="8" name="BIZD"/>
    <tableColumn id="9" name="BKLN"/>
    <tableColumn id="10" name="HY"/>
    <tableColumn id="11" name="NDX S">
      <calculatedColumnFormula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calculatedColumnFormula>
    </tableColumn>
    <tableColumn id="12" name="SOX S">
      <calculatedColumnFormula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calculatedColumnFormula>
    </tableColumn>
    <tableColumn id="13" name="AIQ S">
      <calculatedColumnFormula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calculatedColumnFormula>
    </tableColumn>
    <tableColumn id="14" name="DTCR S">
      <calculatedColumnFormula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calculatedColumnFormula>
    </tableColumn>
    <tableColumn id="15" name="BBB S">
      <calculatedColumnFormula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calculatedColumnFormula>
    </tableColumn>
    <tableColumn id="16" name="CCC S">
      <calculatedColumnFormula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calculatedColumnFormula>
    </tableColumn>
    <tableColumn id="17" name="BIZD S">
      <calculatedColumnFormula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calculatedColumnFormula>
    </tableColumn>
    <tableColumn id="18" name="BKLN S">
      <calculatedColumnFormula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calculatedColumnFormula>
    </tableColumn>
    <tableColumn id="19" name="HY S">
      <calculatedColumnFormula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calculatedColumnFormula>
    </tableColumn>
    <tableColumn id="20" name="EquityP">
      <calculatedColumnFormula>(Dashboard!$C$13*tblHistory[[#This Row],[NDX S]]+Dashboard!$C$14*tblHistory[[#This Row],[SOX S]]+Dashboard!$C$15*tblHistory[[#This Row],[AIQ S]])/(Dashboard!$C$13+Dashboard!$C$14+Dashboard!$C$15)*100</calculatedColumnFormula>
    </tableColumn>
    <tableColumn id="21" name="FinP">
      <calculatedColumnFormula>(Dashboard!$C$16*tblHistory[[#This Row],[DTCR S]]+Dashboard!$C$17*tblHistory[[#This Row],[BBB S]]+Dashboard!$C$18*tblHistory[[#This Row],[CCC S]])/(Dashboard!$C$16+Dashboard!$C$17+Dashboard!$C$18)*100</calculatedColumnFormula>
    </tableColumn>
    <tableColumn id="22" name="CreditP">
      <calculatedColumnFormula>(Dashboard!$C$19*tblHistory[[#This Row],[BIZD S]]+Dashboard!$C$20*tblHistory[[#This Row],[BKLN S]]+Dashboard!$C$21*tblHistory[[#This Row],[HY S]])/(Dashboard!$C$19+Dashboard!$C$20+Dashboard!$C$21)*100</calculatedColumnFormula>
    </tableColumn>
    <tableColumn id="23" name="Score">
      <calculatedColumnFormula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calculatedColumnFormula>
    </tableColumn>
    <tableColumn id="24" name="L1">
      <calculatedColumnFormula>IFERROR(--(tblHistory[[#This Row],[Score]]&gt;=50),0)</calculatedColumnFormula>
    </tableColumn>
    <tableColumn id="25" name="L2">
      <calculatedColumnFormula>IFERROR(--AND(tblHistory[[#This Row],[Score]]&gt;=60,OR(AND(tblHistory[[#This Row],[BIZD S]]&gt;=0.8,tblHistory[[#This Row],[BKLN S]]&gt;=0.5),tblHistory[[#This Row],[CCC S]]&gt;=0.8)),0)</calculatedColumnFormula>
    </tableColumn>
    <tableColumn id="26" name="L3">
      <calculatedColumnFormula>IFERROR(--AND(tblHistory[[#This Row],[Score]]&gt;=70,tblHistory[[#This Row],[SOX S]]&gt;=0.83,tblHistory[[#This Row],[AIQ S]]&gt;=0.8),0)</calculatedColumnFormula>
    </tableColumn>
    <tableColumn id="27" name="L4">
      <calculatedColumnFormula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calculatedColumnFormula>
    </tableColumn>
    <tableColumn id="28" name="L1S">
      <calculatedColumnFormula>IFERROR(--(COUNTIFS(tblHistory[Date],"&gt;="&amp;tblHistory[[#This Row],[Date]],tblHistory[Date],"&lt;="&amp;_xlfn.AGGREGATE(15,6,tblHistory[Date]/(tblHistory[Date]&gt;=tblHistory[[#This Row],[Date]]),5),tblHistory[L1],1)=5),0)</calculatedColumnFormula>
    </tableColumn>
    <tableColumn id="29" name="L2S">
      <calculatedColumnFormula>IFERROR(--(COUNTIFS(tblHistory[Date],"&gt;="&amp;tblHistory[[#This Row],[Date]],tblHistory[Date],"&lt;="&amp;_xlfn.AGGREGATE(15,6,tblHistory[Date]/(tblHistory[Date]&gt;=tblHistory[[#This Row],[Date]]),5),tblHistory[L2],1)=5),0)</calculatedColumnFormula>
    </tableColumn>
    <tableColumn id="30" name="L3S">
      <calculatedColumnFormula>IFERROR(--(COUNTIFS(tblHistory[Date],"&gt;="&amp;tblHistory[[#This Row],[Date]],tblHistory[Date],"&lt;="&amp;_xlfn.AGGREGATE(15,6,tblHistory[Date]/(tblHistory[Date]&gt;=tblHistory[[#This Row],[Date]]),5),tblHistory[L3],1)=5),0)</calculatedColumnFormula>
    </tableColumn>
    <tableColumn id="31" name="L4S">
      <calculatedColumnFormula>IFERROR(--(COUNTIFS(tblHistory[Date],"&gt;="&amp;tblHistory[[#This Row],[Date]],tblHistory[Date],"&lt;="&amp;_xlfn.AGGREGATE(15,6,tblHistory[Date]/(tblHistory[Date]&gt;=tblHistory[[#This Row],[Date]]),5),tblHistory[L4],1)=5),0)</calculatedColumnFormula>
    </tableColumn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7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" customWidth="1" min="3" max="3"/>
    <col width="13" customWidth="1" min="4" max="4"/>
    <col width="13" customWidth="1" min="5" max="5"/>
    <col width="15" customWidth="1" min="6" max="6"/>
    <col width="9" customWidth="1" min="7" max="7"/>
    <col width="9" customWidth="1" min="8" max="8"/>
    <col width="15" customWidth="1" min="9" max="9"/>
    <col width="13" customWidth="1" min="10" max="10"/>
    <col width="13" customWidth="1" min="11" max="11"/>
    <col width="10" customWidth="1" min="12" max="12"/>
    <col width="10" customWidth="1" min="13" max="13"/>
  </cols>
  <sheetData>
    <row r="2" ht="36" customHeight="1">
      <c r="B2" s="1" t="inlineStr">
        <is>
          <t>AI IMPLOSION DASHBOARD</t>
        </is>
      </c>
    </row>
    <row r="3">
      <c r="B3" s="2" t="inlineStr">
        <is>
          <t>Built by KK Reddy</t>
        </is>
      </c>
    </row>
    <row r="4">
      <c r="B4" s="3">
        <f>"Equity, AI-financing &amp; credit stress (9 indicators) | Data as of "&amp;TEXT(MAX(tblHistory[Date]),"dd-mmm-yyyy")</f>
        <v/>
      </c>
    </row>
    <row r="7">
      <c r="B7" s="4" t="inlineStr">
        <is>
          <t>STRESS SCORE</t>
        </is>
      </c>
      <c r="C7" s="5" t="n"/>
      <c r="D7" s="4" t="inlineStr">
        <is>
          <t>STATUS</t>
        </is>
      </c>
      <c r="E7" s="5" t="n"/>
      <c r="F7" s="4" t="inlineStr">
        <is>
          <t>TRIGGERS</t>
        </is>
      </c>
      <c r="G7" s="5" t="n"/>
      <c r="H7" s="4" t="inlineStr">
        <is>
          <t>CURRENT LEVEL</t>
        </is>
      </c>
      <c r="I7" s="5" t="n"/>
      <c r="J7" s="4" t="inlineStr">
        <is>
          <t>L4 FIRST DATE</t>
        </is>
      </c>
      <c r="K7" s="5" t="n"/>
    </row>
    <row r="8" ht="30" customHeight="1">
      <c r="B8" s="6">
        <f>Tracker!C5</f>
        <v/>
      </c>
      <c r="C8" s="5" t="n"/>
      <c r="D8" s="7">
        <f>Tracker!C7</f>
        <v/>
      </c>
      <c r="E8" s="5" t="n"/>
      <c r="F8" s="7">
        <f>Tracker!C6</f>
        <v/>
      </c>
      <c r="G8" s="5" t="n"/>
      <c r="H8" s="7">
        <f>Tracker!C17</f>
        <v/>
      </c>
      <c r="I8" s="5" t="n"/>
      <c r="J8" s="8">
        <f>IF(Tracker!C18="","None yet",TEXT(Tracker!C18,"dd-mmm-yyyy"))</f>
        <v/>
      </c>
      <c r="K8" s="5" t="n"/>
    </row>
    <row r="9">
      <c r="B9" s="9">
        <f>"out of 100"</f>
        <v/>
      </c>
      <c r="C9" s="5" t="n"/>
      <c r="D9" s="9">
        <f>"Score band"</f>
        <v/>
      </c>
      <c r="E9" s="5" t="n"/>
      <c r="F9" s="9">
        <f>"factors at stress 100%"</f>
        <v/>
      </c>
      <c r="G9" s="5" t="n"/>
      <c r="H9" s="9">
        <f>"5 straight days rule"</f>
        <v/>
      </c>
      <c r="I9" s="5" t="n"/>
      <c r="J9" s="9">
        <f>"first L4 streak"</f>
        <v/>
      </c>
      <c r="K9" s="5" t="n"/>
    </row>
    <row r="11">
      <c r="B11" s="10" t="inlineStr">
        <is>
          <t>FACTOR DETAIL</t>
        </is>
      </c>
    </row>
    <row r="12" ht="30" customHeight="1">
      <c r="B12" s="11" t="inlineStr">
        <is>
          <t>Metric</t>
        </is>
      </c>
      <c r="C12" s="11" t="inlineStr">
        <is>
          <t>Weight</t>
        </is>
      </c>
      <c r="D12" s="11" t="inlineStr">
        <is>
          <t>2Y High (spreads: 52W Low)</t>
        </is>
      </c>
      <c r="E12" s="11" t="inlineStr">
        <is>
          <t>Current</t>
        </is>
      </c>
      <c r="F12" s="11" t="inlineStr">
        <is>
          <t>Drawdown (spreads: +bp vs low)</t>
        </is>
      </c>
      <c r="G12" s="11" t="inlineStr">
        <is>
          <t>Calm</t>
        </is>
      </c>
      <c r="H12" s="11" t="inlineStr">
        <is>
          <t>Trigger</t>
        </is>
      </c>
      <c r="I12" s="11" t="inlineStr">
        <is>
          <t>Trigger price (HY: band)</t>
        </is>
      </c>
      <c r="J12" s="11" t="inlineStr">
        <is>
          <t>Stress</t>
        </is>
      </c>
      <c r="K12" s="11" t="inlineStr">
        <is>
          <t>Status</t>
        </is>
      </c>
      <c r="L12" s="11" t="inlineStr">
        <is>
          <t>Widen calm (+bp)</t>
        </is>
      </c>
      <c r="M12" s="11" t="inlineStr">
        <is>
          <t>Widen trigger (+bp)</t>
        </is>
      </c>
    </row>
    <row r="13">
      <c r="B13" s="12" t="inlineStr">
        <is>
          <t>Nasdaq-100 (NDX)</t>
        </is>
      </c>
      <c r="C13" s="13" t="n">
        <v>0.18</v>
      </c>
      <c r="D13" s="14">
        <f>_xlfn.MAXIFS(tblHistory[NDX],tblHistory[Date],"&lt;="&amp;MAX(tblHistory[Date]),tblHistory[Date],"&gt;="&amp;MAX(tblHistory[Date])-730)</f>
        <v/>
      </c>
      <c r="E13" s="14">
        <f>SUMIFS(tblHistory[NDX],tblHistory[Date],_xlfn.MAXIFS(tblHistory[Date],tblHistory[NDX],"&lt;&gt;"))</f>
        <v/>
      </c>
      <c r="F13" s="15">
        <f>E13/D13-1</f>
        <v/>
      </c>
      <c r="G13" s="13" t="n">
        <v>-0.05</v>
      </c>
      <c r="H13" s="13" t="n">
        <v>-0.25</v>
      </c>
      <c r="I13" s="14">
        <f>D13*(1+H13)</f>
        <v/>
      </c>
      <c r="J13" s="16">
        <f>MIN(1,MAX(0,(F13-G13)/(H13-G13)))</f>
        <v/>
      </c>
      <c r="K13" s="17">
        <f>IF(J13=1,"TRIGGERED",IF(J13&gt;=0.5,"WARNING",IF(J13&gt;0,"WATCH","CALM")))</f>
        <v/>
      </c>
      <c r="L13" s="18" t="n"/>
      <c r="M13" s="18" t="n"/>
    </row>
    <row r="14">
      <c r="B14" s="12" t="inlineStr">
        <is>
          <t>Semiconductors (SOX)</t>
        </is>
      </c>
      <c r="C14" s="13" t="n">
        <v>0.18</v>
      </c>
      <c r="D14" s="14">
        <f>_xlfn.MAXIFS(tblHistory[SOX],tblHistory[Date],"&lt;="&amp;MAX(tblHistory[Date]),tblHistory[Date],"&gt;="&amp;MAX(tblHistory[Date])-730)</f>
        <v/>
      </c>
      <c r="E14" s="14">
        <f>SUMIFS(tblHistory[SOX],tblHistory[Date],_xlfn.MAXIFS(tblHistory[Date],tblHistory[SOX],"&lt;&gt;"))</f>
        <v/>
      </c>
      <c r="F14" s="15">
        <f>E14/D14-1</f>
        <v/>
      </c>
      <c r="G14" s="13" t="n">
        <v>-0.1</v>
      </c>
      <c r="H14" s="13" t="n">
        <v>-0.4</v>
      </c>
      <c r="I14" s="14">
        <f>D14*(1+H14)</f>
        <v/>
      </c>
      <c r="J14" s="16">
        <f>MIN(1,MAX(0,(F14-G14)/(H14-G14)))</f>
        <v/>
      </c>
      <c r="K14" s="17">
        <f>IF(J14=1,"TRIGGERED",IF(J14&gt;=0.5,"WARNING",IF(J14&gt;0,"WATCH","CALM")))</f>
        <v/>
      </c>
      <c r="L14" s="18" t="n"/>
      <c r="M14" s="18" t="n"/>
    </row>
    <row r="15">
      <c r="B15" s="12" t="inlineStr">
        <is>
          <t>AI &amp; tech ETF (AIQ)</t>
        </is>
      </c>
      <c r="C15" s="13" t="n">
        <v>0.09</v>
      </c>
      <c r="D15" s="14">
        <f>_xlfn.MAXIFS(tblHistory[AIQ],tblHistory[Date],"&lt;="&amp;MAX(tblHistory[Date]),tblHistory[Date],"&gt;="&amp;MAX(tblHistory[Date])-730)</f>
        <v/>
      </c>
      <c r="E15" s="14">
        <f>SUMIFS(tblHistory[AIQ],tblHistory[Date],_xlfn.MAXIFS(tblHistory[Date],tblHistory[AIQ],"&lt;&gt;"))</f>
        <v/>
      </c>
      <c r="F15" s="15">
        <f>E15/D15-1</f>
        <v/>
      </c>
      <c r="G15" s="13" t="n">
        <v>-0.05</v>
      </c>
      <c r="H15" s="13" t="n">
        <v>-0.3</v>
      </c>
      <c r="I15" s="14">
        <f>D15*(1+H15)</f>
        <v/>
      </c>
      <c r="J15" s="16">
        <f>MIN(1,MAX(0,(F15-G15)/(H15-G15)))</f>
        <v/>
      </c>
      <c r="K15" s="17">
        <f>IF(J15=1,"TRIGGERED",IF(J15&gt;=0.5,"WARNING",IF(J15&gt;0,"WATCH","CALM")))</f>
        <v/>
      </c>
      <c r="L15" s="18" t="n"/>
      <c r="M15" s="18" t="n"/>
    </row>
    <row r="16">
      <c r="B16" s="12" t="inlineStr">
        <is>
          <t>Data-center infrastructure ETF (DTCR)</t>
        </is>
      </c>
      <c r="C16" s="13" t="n">
        <v>0.06</v>
      </c>
      <c r="D16" s="14">
        <f>_xlfn.MAXIFS(tblHistory[DTCR],tblHistory[Date],"&lt;="&amp;MAX(tblHistory[Date]),tblHistory[Date],"&gt;="&amp;MAX(tblHistory[Date])-730)</f>
        <v/>
      </c>
      <c r="E16" s="14">
        <f>SUMIFS(tblHistory[DTCR],tblHistory[Date],_xlfn.MAXIFS(tblHistory[Date],tblHistory[DTCR],"&lt;&gt;"))</f>
        <v/>
      </c>
      <c r="F16" s="15">
        <f>E16/D16-1</f>
        <v/>
      </c>
      <c r="G16" s="13" t="n">
        <v>-0.1</v>
      </c>
      <c r="H16" s="13" t="n">
        <v>-0.35</v>
      </c>
      <c r="I16" s="14">
        <f>D16*(1+H16)</f>
        <v/>
      </c>
      <c r="J16" s="16">
        <f>MIN(1,MAX(0,(F16-G16)/(H16-G16)))</f>
        <v/>
      </c>
      <c r="K16" s="17">
        <f>IF(J16=1,"TRIGGERED",IF(J16&gt;=0.5,"WARNING",IF(J16&gt;0,"WATCH","CALM")))</f>
        <v/>
      </c>
      <c r="L16" s="18" t="n"/>
      <c r="M16" s="18" t="n"/>
    </row>
    <row r="17">
      <c r="B17" s="12" t="inlineStr">
        <is>
          <t>BBB corporate spread (bp) (BBB)</t>
        </is>
      </c>
      <c r="C17" s="13" t="n">
        <v>0.06</v>
      </c>
      <c r="D17" s="19">
        <f>_xlfn.MINIFS(tblHistory[BBB],tblHistory[Date],"&lt;="&amp;MAX(tblHistory[Date]),tblHistory[Date],"&gt;="&amp;MAX(tblHistory[Date])-365)</f>
        <v/>
      </c>
      <c r="E17" s="19">
        <f>SUMIFS(tblHistory[BBB],tblHistory[Date],_xlfn.MAXIFS(tblHistory[Date],tblHistory[BBB],"&lt;&gt;"))</f>
        <v/>
      </c>
      <c r="F17" s="20">
        <f>E17-D17</f>
        <v/>
      </c>
      <c r="G17" s="21" t="n">
        <v>140</v>
      </c>
      <c r="H17" s="21" t="n">
        <v>250</v>
      </c>
      <c r="I17" s="17" t="inlineStr">
        <is>
          <t>—</t>
        </is>
      </c>
      <c r="J17" s="16">
        <f>MAX(MIN(1,MAX(0,(E17-G17)/(H17-G17))),MIN(1,MAX(0,(F17-L17)/(M17-L17))))</f>
        <v/>
      </c>
      <c r="K17" s="17">
        <f>IF(J17=1,"TRIGGERED",IF(J17&gt;=0.5,"WARNING",IF(J17&gt;0,"WATCH","CALM")))</f>
        <v/>
      </c>
      <c r="L17" s="22" t="n">
        <v>30</v>
      </c>
      <c r="M17" s="22" t="n">
        <v>100</v>
      </c>
    </row>
    <row r="18">
      <c r="B18" s="12" t="inlineStr">
        <is>
          <t>CCC high-yield spread (bp) (CCC)</t>
        </is>
      </c>
      <c r="C18" s="13" t="n">
        <v>0.06</v>
      </c>
      <c r="D18" s="19">
        <f>_xlfn.MINIFS(tblHistory[CCC],tblHistory[Date],"&lt;="&amp;MAX(tblHistory[Date]),tblHistory[Date],"&gt;="&amp;MAX(tblHistory[Date])-365)</f>
        <v/>
      </c>
      <c r="E18" s="19">
        <f>SUMIFS(tblHistory[CCC],tblHistory[Date],_xlfn.MAXIFS(tblHistory[Date],tblHistory[CCC],"&lt;&gt;"))</f>
        <v/>
      </c>
      <c r="F18" s="20">
        <f>E18-D18</f>
        <v/>
      </c>
      <c r="G18" s="21" t="n">
        <v>900</v>
      </c>
      <c r="H18" s="21" t="n">
        <v>1500</v>
      </c>
      <c r="I18" s="17" t="inlineStr">
        <is>
          <t>—</t>
        </is>
      </c>
      <c r="J18" s="16">
        <f>MAX(MIN(1,MAX(0,(E18-G18)/(H18-G18))),MIN(1,MAX(0,(F18-L18)/(M18-L18))))</f>
        <v/>
      </c>
      <c r="K18" s="17">
        <f>IF(J18=1,"TRIGGERED",IF(J18&gt;=0.5,"WARNING",IF(J18&gt;0,"WATCH","CALM")))</f>
        <v/>
      </c>
      <c r="L18" s="22" t="n">
        <v>150</v>
      </c>
      <c r="M18" s="22" t="n">
        <v>500</v>
      </c>
    </row>
    <row r="19">
      <c r="B19" s="12" t="inlineStr">
        <is>
          <t>BDC (private credit) ETF (BIZD)</t>
        </is>
      </c>
      <c r="C19" s="13" t="n">
        <v>0.14</v>
      </c>
      <c r="D19" s="14">
        <f>_xlfn.MAXIFS(tblHistory[BIZD],tblHistory[Date],"&lt;="&amp;MAX(tblHistory[Date]),tblHistory[Date],"&gt;="&amp;MAX(tblHistory[Date])-730)</f>
        <v/>
      </c>
      <c r="E19" s="14">
        <f>SUMIFS(tblHistory[BIZD],tblHistory[Date],_xlfn.MAXIFS(tblHistory[Date],tblHistory[BIZD],"&lt;&gt;"))</f>
        <v/>
      </c>
      <c r="F19" s="15">
        <f>E19/D19-1</f>
        <v/>
      </c>
      <c r="G19" s="13" t="n">
        <v>-0.05</v>
      </c>
      <c r="H19" s="13" t="n">
        <v>-0.25</v>
      </c>
      <c r="I19" s="14">
        <f>D19*(1+H19)</f>
        <v/>
      </c>
      <c r="J19" s="16">
        <f>MIN(1,MAX(0,(F19-G19)/(H19-G19)))</f>
        <v/>
      </c>
      <c r="K19" s="17">
        <f>IF(J19=1,"TRIGGERED",IF(J19&gt;=0.5,"WARNING",IF(J19&gt;0,"WATCH","CALM")))</f>
        <v/>
      </c>
      <c r="L19" s="18" t="n"/>
      <c r="M19" s="18" t="n"/>
    </row>
    <row r="20">
      <c r="B20" s="12" t="inlineStr">
        <is>
          <t>Leveraged loan ETF (BKLN)</t>
        </is>
      </c>
      <c r="C20" s="13" t="n">
        <v>0.13</v>
      </c>
      <c r="D20" s="14">
        <f>_xlfn.MAXIFS(tblHistory[BKLN],tblHistory[Date],"&lt;="&amp;MAX(tblHistory[Date]),tblHistory[Date],"&gt;="&amp;MAX(tblHistory[Date])-730)</f>
        <v/>
      </c>
      <c r="E20" s="14">
        <f>SUMIFS(tblHistory[BKLN],tblHistory[Date],_xlfn.MAXIFS(tblHistory[Date],tblHistory[BKLN],"&lt;&gt;"))</f>
        <v/>
      </c>
      <c r="F20" s="15">
        <f>E20/D20-1</f>
        <v/>
      </c>
      <c r="G20" s="13" t="n">
        <v>-0.02</v>
      </c>
      <c r="H20" s="13" t="n">
        <v>-0.08</v>
      </c>
      <c r="I20" s="14">
        <f>D20*(1+H20)</f>
        <v/>
      </c>
      <c r="J20" s="16">
        <f>MIN(1,MAX(0,(F20-G20)/(H20-G20)))</f>
        <v/>
      </c>
      <c r="K20" s="17">
        <f>IF(J20=1,"TRIGGERED",IF(J20&gt;=0.5,"WARNING",IF(J20&gt;0,"WATCH","CALM")))</f>
        <v/>
      </c>
      <c r="L20" s="18" t="n"/>
      <c r="M20" s="18" t="n"/>
    </row>
    <row r="21">
      <c r="B21" s="12" t="inlineStr">
        <is>
          <t>High-yield spread (bp) (HY)</t>
        </is>
      </c>
      <c r="C21" s="13" t="n">
        <v>0.1</v>
      </c>
      <c r="D21" s="19">
        <f>_xlfn.MINIFS(tblHistory[HY],tblHistory[Date],"&lt;="&amp;MAX(tblHistory[Date]),tblHistory[Date],"&gt;="&amp;MAX(tblHistory[Date])-365)</f>
        <v/>
      </c>
      <c r="E21" s="19">
        <f>SUMIFS(tblHistory[HY],tblHistory[Date],_xlfn.MAXIFS(tblHistory[Date],tblHistory[HY],"&lt;&gt;"))</f>
        <v/>
      </c>
      <c r="F21" s="20">
        <f>E21-D21</f>
        <v/>
      </c>
      <c r="G21" s="21" t="n">
        <v>400</v>
      </c>
      <c r="H21" s="21" t="n">
        <v>600</v>
      </c>
      <c r="I21" s="17">
        <f>IF(E21&lt;300,"Very Healthy",IF(E21&lt;400,"Normal",IF(E21&lt;500,"Watch",IF(E21&lt;600,"Warning",IF(E21&lt;800,"Severe Stress","Crisis")))))</f>
        <v/>
      </c>
      <c r="J21" s="16">
        <f>MAX(MIN(1,MAX(0,(E21-G21)/(H21-G21))),MIN(1,MAX(0,(F21-L21)/(M21-L21))))</f>
        <v/>
      </c>
      <c r="K21" s="17">
        <f>IF(J21=1,"TRIGGERED",IF(J21&gt;=0.5,"WARNING",IF(J21&gt;0,"WATCH","CALM")))</f>
        <v/>
      </c>
      <c r="L21" s="22" t="n">
        <v>75</v>
      </c>
      <c r="M21" s="22" t="n">
        <v>250</v>
      </c>
    </row>
    <row r="22">
      <c r="B22" s="23" t="inlineStr">
        <is>
          <t>Total weight</t>
        </is>
      </c>
      <c r="C22" s="24">
        <f>SUM(C13:C21)</f>
        <v/>
      </c>
    </row>
    <row r="23" ht="36" customHeight="1">
      <c r="B23" s="25" t="inlineStr">
        <is>
          <t>How it works: Prices: drawdown = dividend-adjusted close ÷ highest close of the last 2 years − 1; stress = clamp((x − Calm)/(Trigger − Calm), 0, 1). Spreads (bp): stress = the higher of the level test (Calm/Trigger) and the widening test (+bp over the 52-week low vs Widen calm/trigger). Score = weighted stress × 100. Levels need 5 straight trading days: L1 Score≥50 · L2 Score≥60 + (BIZD≥80% + BKLN≥50%, or CCC≥80%) · L3 Score≥70 + SOX≥83% + AIQ≥80% · L4 Score≥75 + NDX=100% + (HY≥500bp or BIZD=100%). Implosion date = first day of the first L4 streak. Levels are independent tripwires; they show PAUSED in recovery mode (Nasdaq-100 20%+ above its low since its 2-year high). Shock flag: Score≥60 with no level confirmed. Blue cells are editable.</t>
        </is>
      </c>
    </row>
    <row r="24" ht="36" customHeight="1"/>
    <row r="78">
      <c r="B78" s="26" t="inlineStr">
        <is>
          <t>AI Implosion Dashboard · designed by KK Reddy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1">
    <mergeCell ref="B2:M2"/>
    <mergeCell ref="B11:M11"/>
    <mergeCell ref="B7:C7"/>
    <mergeCell ref="H9:I9"/>
    <mergeCell ref="F7:G7"/>
    <mergeCell ref="J9:K9"/>
    <mergeCell ref="B78:M78"/>
    <mergeCell ref="B8:C8"/>
    <mergeCell ref="F8:G8"/>
    <mergeCell ref="D7:E7"/>
    <mergeCell ref="H7:I7"/>
    <mergeCell ref="J7:K7"/>
    <mergeCell ref="B23:M24"/>
    <mergeCell ref="B9:C9"/>
    <mergeCell ref="D9:E9"/>
    <mergeCell ref="B4:M4"/>
    <mergeCell ref="F9:G9"/>
    <mergeCell ref="D8:E8"/>
    <mergeCell ref="B3:M3"/>
    <mergeCell ref="H8:I8"/>
    <mergeCell ref="J8:K8"/>
  </mergeCells>
  <conditionalFormatting sqref="B8">
    <cfRule type="expression" priority="1" dxfId="0" stopIfTrue="1">
      <formula>$B$8&gt;=75</formula>
    </cfRule>
    <cfRule type="expression" priority="2" dxfId="1" stopIfTrue="1">
      <formula>$B$8&gt;=50</formula>
    </cfRule>
    <cfRule type="expression" priority="3" dxfId="2" stopIfTrue="1">
      <formula>$B$8&gt;=25</formula>
    </cfRule>
    <cfRule type="expression" priority="4" dxfId="3" stopIfTrue="1">
      <formula>ISNUMBER($B$8)</formula>
    </cfRule>
  </conditionalFormatting>
  <conditionalFormatting sqref="K13:K21">
    <cfRule type="cellIs" priority="5" operator="equal" dxfId="4">
      <formula>"TRIGGERED"</formula>
    </cfRule>
    <cfRule type="cellIs" priority="6" operator="equal" dxfId="5">
      <formula>"WARNING"</formula>
    </cfRule>
    <cfRule type="cellIs" priority="7" operator="equal" dxfId="6">
      <formula>"WATCH"</formula>
    </cfRule>
    <cfRule type="cellIs" priority="8" operator="equal" dxfId="7">
      <formula>"CALM"</formula>
    </cfRule>
  </conditionalFormatting>
  <conditionalFormatting sqref="J13:J21">
    <cfRule type="dataBar" priority="9">
      <dataBar>
        <cfvo type="num" val="0"/>
        <cfvo type="num" val="1"/>
        <color rgb="006366F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2" customWidth="1" min="3" max="3"/>
    <col width="16" customWidth="1" min="4" max="4"/>
    <col width="14" customWidth="1" min="5" max="5"/>
    <col width="14" customWidth="1" min="6" max="6"/>
  </cols>
  <sheetData>
    <row r="2">
      <c r="B2" s="27" t="inlineStr">
        <is>
          <t>TRACKER — score &amp; levels</t>
        </is>
      </c>
    </row>
    <row r="4">
      <c r="B4" s="28" t="inlineStr">
        <is>
          <t>Latest date</t>
        </is>
      </c>
      <c r="C4" s="29">
        <f>MAX(tblHistory[Date])</f>
        <v/>
      </c>
    </row>
    <row r="5">
      <c r="B5" s="28" t="inlineStr">
        <is>
          <t>Score</t>
        </is>
      </c>
      <c r="C5" s="30">
        <f>INDEX(tblHistory[Score],MATCH(C4,tblHistory[Date],0))</f>
        <v/>
      </c>
    </row>
    <row r="6">
      <c r="B6" s="28" t="inlineStr">
        <is>
          <t>Triggers</t>
        </is>
      </c>
      <c r="C6" s="31">
        <f>COUNTIF(Dashboard!K13:K21,"TRIGGERED")&amp;" of 9"</f>
        <v/>
      </c>
    </row>
    <row r="7">
      <c r="B7" s="28" t="inlineStr">
        <is>
          <t>Band</t>
        </is>
      </c>
      <c r="C7" s="31">
        <f>IF(C18&lt;&gt;"","IMPLOSION CONFIRMED",IFERROR(IF(C5&lt;25,"NORMAL",IF(C5&lt;50,"ELEVATED",IF(C5&lt;75,"SEVERE","CRITICAL"))),"WARM-UP"))</f>
        <v/>
      </c>
    </row>
    <row r="10">
      <c r="B10" s="10" t="inlineStr">
        <is>
          <t>LEVELS</t>
        </is>
      </c>
    </row>
    <row r="11">
      <c r="B11" s="32" t="inlineStr">
        <is>
          <t>Level</t>
        </is>
      </c>
      <c r="C11" s="32" t="inlineStr">
        <is>
          <t>Name</t>
        </is>
      </c>
      <c r="D11" s="32" t="inlineStr">
        <is>
          <t>First date (5-day start)</t>
        </is>
      </c>
      <c r="E11" s="32" t="inlineStr">
        <is>
          <t>Active now</t>
        </is>
      </c>
    </row>
    <row r="12">
      <c r="B12" s="33" t="inlineStr">
        <is>
          <t>L1</t>
        </is>
      </c>
      <c r="C12" s="33" t="inlineStr">
        <is>
          <t>Warning</t>
        </is>
      </c>
      <c r="D12" s="34">
        <f>IF(COUNTIF(tblHistory[L1S],1),_xlfn.MINIFS(tblHistory[Date],tblHistory[L1S],1),"")</f>
        <v/>
      </c>
      <c r="E12" s="33">
        <f>IF(COUNTIFS(tblHistory[Date],"&gt;="&amp;LARGE(tblHistory[Date],5),tblHistory[L1],1)=5,IF(C21="ON","PAUSED (recovery)","YES"),"NO")</f>
        <v/>
      </c>
    </row>
    <row r="13">
      <c r="B13" s="33" t="inlineStr">
        <is>
          <t>L2</t>
        </is>
      </c>
      <c r="C13" s="33" t="inlineStr">
        <is>
          <t>Financing Stress</t>
        </is>
      </c>
      <c r="D13" s="34">
        <f>IF(COUNTIF(tblHistory[L2S],1),_xlfn.MINIFS(tblHistory[Date],tblHistory[L2S],1),"")</f>
        <v/>
      </c>
      <c r="E13" s="33">
        <f>IF(COUNTIFS(tblHistory[Date],"&gt;="&amp;LARGE(tblHistory[Date],5),tblHistory[L2],1)=5,IF(C21="ON","PAUSED (recovery)","YES"),"NO")</f>
        <v/>
      </c>
    </row>
    <row r="14">
      <c r="B14" s="33" t="inlineStr">
        <is>
          <t>L3</t>
        </is>
      </c>
      <c r="C14" s="33" t="inlineStr">
        <is>
          <t>Bubble Unwind</t>
        </is>
      </c>
      <c r="D14" s="34">
        <f>IF(COUNTIF(tblHistory[L3S],1),_xlfn.MINIFS(tblHistory[Date],tblHistory[L3S],1),"")</f>
        <v/>
      </c>
      <c r="E14" s="33">
        <f>IF(COUNTIFS(tblHistory[Date],"&gt;="&amp;LARGE(tblHistory[Date],5),tblHistory[L3],1)=5,IF(C21="ON","PAUSED (recovery)","YES"),"NO")</f>
        <v/>
      </c>
    </row>
    <row r="15">
      <c r="B15" s="33" t="inlineStr">
        <is>
          <t>L4</t>
        </is>
      </c>
      <c r="C15" s="33" t="inlineStr">
        <is>
          <t>AI Implosion</t>
        </is>
      </c>
      <c r="D15" s="34">
        <f>IF(COUNTIF(tblHistory[L4S],1),_xlfn.MINIFS(tblHistory[Date],tblHistory[L4S],1),"")</f>
        <v/>
      </c>
      <c r="E15" s="33">
        <f>IF(COUNTIFS(tblHistory[Date],"&gt;="&amp;LARGE(tblHistory[Date],5),tblHistory[L4],1)=5,IF(C21="ON","PAUSED (recovery)","YES"),"NO")</f>
        <v/>
      </c>
    </row>
    <row r="17">
      <c r="B17" s="28" t="inlineStr">
        <is>
          <t>Current level</t>
        </is>
      </c>
      <c r="C17">
        <f>IF(E15="YES","L4 AI Implosion",IF(E14="YES","L3 Bubble Unwind",IF(E13="YES","L2 Financing Stress",IF(E12="YES","L1 Warning","None"))))</f>
        <v/>
      </c>
    </row>
    <row r="18">
      <c r="B18" s="35" t="inlineStr">
        <is>
          <t>AI Implosion date</t>
        </is>
      </c>
      <c r="C18" s="36">
        <f>D15</f>
        <v/>
      </c>
    </row>
    <row r="19">
      <c r="B19" s="28" t="inlineStr">
        <is>
          <t>Shock flag</t>
        </is>
      </c>
      <c r="C19">
        <f>IF(AND(N(C5)&gt;=60,COUNTIF(E12:E15,"NO")=4),"ON","off")</f>
        <v/>
      </c>
    </row>
    <row r="21">
      <c r="B21" s="28" t="inlineStr">
        <is>
          <t>Recovery mode</t>
        </is>
      </c>
      <c r="C21">
        <f>IF(IFERROR(ROUND(INDEX(tblHistory[NDX],MATCH(C4,tblHistory[Date],0))/_xlfn.MINIFS(tblHistory[NDX],tblHistory[Date],"&gt;="&amp;_xlfn.MAXIFS(tblHistory[Date],tblHistory[NDX],_xlfn.MAXIFS(tblHistory[NDX],tblHistory[Date],"&gt;="&amp;C4-730,tblHistory[Date],"&lt;="&amp;C4),tblHistory[Date],"&gt;="&amp;C4-730,tblHistory[Date],"&lt;="&amp;C4),tblHistory[Date],"&lt;="&amp;C4)-1,9),0)&gt;=0.2,"ON","off")</f>
        <v/>
      </c>
      <c r="D21" s="37">
        <f>IFERROR(INDEX(tblHistory[NDX],MATCH(C4,tblHistory[Date],0))/_xlfn.MINIFS(tblHistory[NDX],tblHistory[Date],"&gt;="&amp;_xlfn.MAXIFS(tblHistory[Date],tblHistory[NDX],_xlfn.MAXIFS(tblHistory[NDX],tblHistory[Date],"&gt;="&amp;C4-730,tblHistory[Date],"&lt;="&amp;C4),tblHistory[Date],"&gt;="&amp;C4-730,tblHistory[Date],"&lt;="&amp;C4),tblHistory[Date],"&lt;="&amp;C4)-1,"")</f>
        <v/>
      </c>
    </row>
    <row r="23">
      <c r="B23" s="38" t="inlineStr">
        <is>
          <t>Levels are independent tripwires, not a ladder. Recovery mode = Nasdaq-100 20%+ above its lowest close since its 2-year high; active levels show PAUSED then, and start dates never move. Shock flag = score ≥ 60 with no level confirmed (not a level).</t>
        </is>
      </c>
    </row>
    <row r="24"/>
    <row r="25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B23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39" t="inlineStr">
        <is>
          <t>LIVE DATA — Yahoo Finance dividend-adjusted closes + FRED spreads (x100, bp). Auto-refreshed 27-Oct-2026 22:49. Newest row on top.</t>
        </is>
      </c>
    </row>
    <row r="2">
      <c r="A2" s="40" t="inlineStr">
        <is>
          <t>Inputs: Date + 9 values (light blue). Everything from 'NDX S' onward is calculated — don't type there. Blank cells carry the last value.</t>
        </is>
      </c>
    </row>
    <row r="3">
      <c r="A3" s="41" t="inlineStr">
        <is>
          <t>Date</t>
        </is>
      </c>
      <c r="B3" s="41" t="inlineStr">
        <is>
          <t>NDX</t>
        </is>
      </c>
      <c r="C3" s="41" t="inlineStr">
        <is>
          <t>SOX</t>
        </is>
      </c>
      <c r="D3" s="41" t="inlineStr">
        <is>
          <t>AIQ</t>
        </is>
      </c>
      <c r="E3" s="41" t="inlineStr">
        <is>
          <t>DTCR</t>
        </is>
      </c>
      <c r="F3" s="41" t="inlineStr">
        <is>
          <t>BBB</t>
        </is>
      </c>
      <c r="G3" s="41" t="inlineStr">
        <is>
          <t>CCC</t>
        </is>
      </c>
      <c r="H3" s="41" t="inlineStr">
        <is>
          <t>BIZD</t>
        </is>
      </c>
      <c r="I3" s="41" t="inlineStr">
        <is>
          <t>BKLN</t>
        </is>
      </c>
      <c r="J3" s="41" t="inlineStr">
        <is>
          <t>HY</t>
        </is>
      </c>
      <c r="K3" s="41" t="inlineStr">
        <is>
          <t>NDX S</t>
        </is>
      </c>
      <c r="L3" s="41" t="inlineStr">
        <is>
          <t>SOX S</t>
        </is>
      </c>
      <c r="M3" s="41" t="inlineStr">
        <is>
          <t>AIQ S</t>
        </is>
      </c>
      <c r="N3" s="41" t="inlineStr">
        <is>
          <t>DTCR S</t>
        </is>
      </c>
      <c r="O3" s="41" t="inlineStr">
        <is>
          <t>BBB S</t>
        </is>
      </c>
      <c r="P3" s="41" t="inlineStr">
        <is>
          <t>CCC S</t>
        </is>
      </c>
      <c r="Q3" s="41" t="inlineStr">
        <is>
          <t>BIZD S</t>
        </is>
      </c>
      <c r="R3" s="41" t="inlineStr">
        <is>
          <t>BKLN S</t>
        </is>
      </c>
      <c r="S3" s="41" t="inlineStr">
        <is>
          <t>HY S</t>
        </is>
      </c>
      <c r="T3" s="41" t="inlineStr">
        <is>
          <t>EquityP</t>
        </is>
      </c>
      <c r="U3" s="41" t="inlineStr">
        <is>
          <t>FinP</t>
        </is>
      </c>
      <c r="V3" s="41" t="inlineStr">
        <is>
          <t>CreditP</t>
        </is>
      </c>
      <c r="W3" s="41" t="inlineStr">
        <is>
          <t>Score</t>
        </is>
      </c>
      <c r="X3" s="41" t="inlineStr">
        <is>
          <t>L1</t>
        </is>
      </c>
      <c r="Y3" s="41" t="inlineStr">
        <is>
          <t>L2</t>
        </is>
      </c>
      <c r="Z3" s="41" t="inlineStr">
        <is>
          <t>L3</t>
        </is>
      </c>
      <c r="AA3" s="41" t="inlineStr">
        <is>
          <t>L4</t>
        </is>
      </c>
      <c r="AB3" s="41" t="inlineStr">
        <is>
          <t>L1S</t>
        </is>
      </c>
      <c r="AC3" s="41" t="inlineStr">
        <is>
          <t>L2S</t>
        </is>
      </c>
      <c r="AD3" s="41" t="inlineStr">
        <is>
          <t>L3S</t>
        </is>
      </c>
      <c r="AE3" s="41" t="inlineStr">
        <is>
          <t>L4S</t>
        </is>
      </c>
    </row>
    <row r="4">
      <c r="A4" s="42" t="n">
        <v>46322</v>
      </c>
      <c r="B4" s="43" t="n">
        <v>29651.4414</v>
      </c>
      <c r="C4" s="43" t="n">
        <v>11482.5049</v>
      </c>
      <c r="D4" s="43" t="n">
        <v>63.66</v>
      </c>
      <c r="E4" s="43" t="n">
        <v>26.13</v>
      </c>
      <c r="F4" s="44" t="n"/>
      <c r="G4" s="44" t="n"/>
      <c r="H4" s="43" t="n">
        <v>12.09</v>
      </c>
      <c r="I4" s="43" t="n">
        <v>20.38</v>
      </c>
      <c r="J4" s="44" t="n"/>
      <c r="K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" s="46">
        <f>(Dashboard!$C$13*tblHistory[[#This Row],[NDX S]]+Dashboard!$C$14*tblHistory[[#This Row],[SOX S]]+Dashboard!$C$15*tblHistory[[#This Row],[AIQ S]])/(Dashboard!$C$13+Dashboard!$C$14+Dashboard!$C$15)*100</f>
        <v/>
      </c>
      <c r="U4" s="46">
        <f>(Dashboard!$C$16*tblHistory[[#This Row],[DTCR S]]+Dashboard!$C$17*tblHistory[[#This Row],[BBB S]]+Dashboard!$C$18*tblHistory[[#This Row],[CCC S]])/(Dashboard!$C$16+Dashboard!$C$17+Dashboard!$C$18)*100</f>
        <v/>
      </c>
      <c r="V4" s="46">
        <f>(Dashboard!$C$19*tblHistory[[#This Row],[BIZD S]]+Dashboard!$C$20*tblHistory[[#This Row],[BKLN S]]+Dashboard!$C$21*tblHistory[[#This Row],[HY S]])/(Dashboard!$C$19+Dashboard!$C$20+Dashboard!$C$21)*100</f>
        <v/>
      </c>
      <c r="W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" s="46">
        <f>IFERROR(--(tblHistory[[#This Row],[Score]]&gt;=50),0)</f>
        <v/>
      </c>
      <c r="Y4" s="46">
        <f>IFERROR(--AND(tblHistory[[#This Row],[Score]]&gt;=60,OR(AND(tblHistory[[#This Row],[BIZD S]]&gt;=0.8,tblHistory[[#This Row],[BKLN S]]&gt;=0.5),tblHistory[[#This Row],[CCC S]]&gt;=0.8)),0)</f>
        <v/>
      </c>
      <c r="Z4" s="46">
        <f>IFERROR(--AND(tblHistory[[#This Row],[Score]]&gt;=70,tblHistory[[#This Row],[SOX S]]&gt;=0.83,tblHistory[[#This Row],[AIQ S]]&gt;=0.8),0)</f>
        <v/>
      </c>
      <c r="AA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">
      <c r="A5" s="42" t="n">
        <v>46321</v>
      </c>
      <c r="B5" s="43" t="n">
        <v>29273.4004</v>
      </c>
      <c r="C5" s="43" t="n">
        <v>11083.4697</v>
      </c>
      <c r="D5" s="43" t="n">
        <v>62.94</v>
      </c>
      <c r="E5" s="43" t="n">
        <v>25.68</v>
      </c>
      <c r="F5" s="44" t="n">
        <v>112</v>
      </c>
      <c r="G5" s="44" t="n">
        <v>1345</v>
      </c>
      <c r="H5" s="43" t="n">
        <v>11.9</v>
      </c>
      <c r="I5" s="43" t="n">
        <v>20.3</v>
      </c>
      <c r="J5" s="44" t="n">
        <v>330</v>
      </c>
      <c r="K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" s="46">
        <f>(Dashboard!$C$13*tblHistory[[#This Row],[NDX S]]+Dashboard!$C$14*tblHistory[[#This Row],[SOX S]]+Dashboard!$C$15*tblHistory[[#This Row],[AIQ S]])/(Dashboard!$C$13+Dashboard!$C$14+Dashboard!$C$15)*100</f>
        <v/>
      </c>
      <c r="U5" s="46">
        <f>(Dashboard!$C$16*tblHistory[[#This Row],[DTCR S]]+Dashboard!$C$17*tblHistory[[#This Row],[BBB S]]+Dashboard!$C$18*tblHistory[[#This Row],[CCC S]])/(Dashboard!$C$16+Dashboard!$C$17+Dashboard!$C$18)*100</f>
        <v/>
      </c>
      <c r="V5" s="46">
        <f>(Dashboard!$C$19*tblHistory[[#This Row],[BIZD S]]+Dashboard!$C$20*tblHistory[[#This Row],[BKLN S]]+Dashboard!$C$21*tblHistory[[#This Row],[HY S]])/(Dashboard!$C$19+Dashboard!$C$20+Dashboard!$C$21)*100</f>
        <v/>
      </c>
      <c r="W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" s="46">
        <f>IFERROR(--(tblHistory[[#This Row],[Score]]&gt;=50),0)</f>
        <v/>
      </c>
      <c r="Y5" s="46">
        <f>IFERROR(--AND(tblHistory[[#This Row],[Score]]&gt;=60,OR(AND(tblHistory[[#This Row],[BIZD S]]&gt;=0.8,tblHistory[[#This Row],[BKLN S]]&gt;=0.5),tblHistory[[#This Row],[CCC S]]&gt;=0.8)),0)</f>
        <v/>
      </c>
      <c r="Z5" s="46">
        <f>IFERROR(--AND(tblHistory[[#This Row],[Score]]&gt;=70,tblHistory[[#This Row],[SOX S]]&gt;=0.83,tblHistory[[#This Row],[AIQ S]]&gt;=0.8),0)</f>
        <v/>
      </c>
      <c r="AA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">
      <c r="A6" s="42" t="n">
        <v>46318</v>
      </c>
      <c r="B6" s="43" t="n">
        <v>28957.5293</v>
      </c>
      <c r="C6" s="43" t="n">
        <v>10779.46</v>
      </c>
      <c r="D6" s="43" t="n">
        <v>62.29</v>
      </c>
      <c r="E6" s="43" t="n">
        <v>25.43</v>
      </c>
      <c r="F6" s="44" t="n">
        <v>113</v>
      </c>
      <c r="G6" s="44" t="n">
        <v>1356</v>
      </c>
      <c r="H6" s="43" t="n">
        <v>11.93</v>
      </c>
      <c r="I6" s="43" t="n">
        <v>20.26</v>
      </c>
      <c r="J6" s="44" t="n">
        <v>338</v>
      </c>
      <c r="K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" s="46">
        <f>(Dashboard!$C$13*tblHistory[[#This Row],[NDX S]]+Dashboard!$C$14*tblHistory[[#This Row],[SOX S]]+Dashboard!$C$15*tblHistory[[#This Row],[AIQ S]])/(Dashboard!$C$13+Dashboard!$C$14+Dashboard!$C$15)*100</f>
        <v/>
      </c>
      <c r="U6" s="46">
        <f>(Dashboard!$C$16*tblHistory[[#This Row],[DTCR S]]+Dashboard!$C$17*tblHistory[[#This Row],[BBB S]]+Dashboard!$C$18*tblHistory[[#This Row],[CCC S]])/(Dashboard!$C$16+Dashboard!$C$17+Dashboard!$C$18)*100</f>
        <v/>
      </c>
      <c r="V6" s="46">
        <f>(Dashboard!$C$19*tblHistory[[#This Row],[BIZD S]]+Dashboard!$C$20*tblHistory[[#This Row],[BKLN S]]+Dashboard!$C$21*tblHistory[[#This Row],[HY S]])/(Dashboard!$C$19+Dashboard!$C$20+Dashboard!$C$21)*100</f>
        <v/>
      </c>
      <c r="W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" s="46">
        <f>IFERROR(--(tblHistory[[#This Row],[Score]]&gt;=50),0)</f>
        <v/>
      </c>
      <c r="Y6" s="46">
        <f>IFERROR(--AND(tblHistory[[#This Row],[Score]]&gt;=60,OR(AND(tblHistory[[#This Row],[BIZD S]]&gt;=0.8,tblHistory[[#This Row],[BKLN S]]&gt;=0.5),tblHistory[[#This Row],[CCC S]]&gt;=0.8)),0)</f>
        <v/>
      </c>
      <c r="Z6" s="46">
        <f>IFERROR(--AND(tblHistory[[#This Row],[Score]]&gt;=70,tblHistory[[#This Row],[SOX S]]&gt;=0.83,tblHistory[[#This Row],[AIQ S]]&gt;=0.8),0)</f>
        <v/>
      </c>
      <c r="AA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">
      <c r="A7" s="42" t="n">
        <v>46317</v>
      </c>
      <c r="B7" s="43" t="n">
        <v>28958.6895</v>
      </c>
      <c r="C7" s="43" t="n">
        <v>10731.9805</v>
      </c>
      <c r="D7" s="43" t="n">
        <v>62.07</v>
      </c>
      <c r="E7" s="43" t="n">
        <v>24.95</v>
      </c>
      <c r="F7" s="44" t="n">
        <v>111</v>
      </c>
      <c r="G7" s="44" t="n">
        <v>1340</v>
      </c>
      <c r="H7" s="43" t="n">
        <v>12.06</v>
      </c>
      <c r="I7" s="43" t="n">
        <v>20.29</v>
      </c>
      <c r="J7" s="44" t="n">
        <v>340</v>
      </c>
      <c r="K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" s="46">
        <f>(Dashboard!$C$13*tblHistory[[#This Row],[NDX S]]+Dashboard!$C$14*tblHistory[[#This Row],[SOX S]]+Dashboard!$C$15*tblHistory[[#This Row],[AIQ S]])/(Dashboard!$C$13+Dashboard!$C$14+Dashboard!$C$15)*100</f>
        <v/>
      </c>
      <c r="U7" s="46">
        <f>(Dashboard!$C$16*tblHistory[[#This Row],[DTCR S]]+Dashboard!$C$17*tblHistory[[#This Row],[BBB S]]+Dashboard!$C$18*tblHistory[[#This Row],[CCC S]])/(Dashboard!$C$16+Dashboard!$C$17+Dashboard!$C$18)*100</f>
        <v/>
      </c>
      <c r="V7" s="46">
        <f>(Dashboard!$C$19*tblHistory[[#This Row],[BIZD S]]+Dashboard!$C$20*tblHistory[[#This Row],[BKLN S]]+Dashboard!$C$21*tblHistory[[#This Row],[HY S]])/(Dashboard!$C$19+Dashboard!$C$20+Dashboard!$C$21)*100</f>
        <v/>
      </c>
      <c r="W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" s="46">
        <f>IFERROR(--(tblHistory[[#This Row],[Score]]&gt;=50),0)</f>
        <v/>
      </c>
      <c r="Y7" s="46">
        <f>IFERROR(--AND(tblHistory[[#This Row],[Score]]&gt;=60,OR(AND(tblHistory[[#This Row],[BIZD S]]&gt;=0.8,tblHistory[[#This Row],[BKLN S]]&gt;=0.5),tblHistory[[#This Row],[CCC S]]&gt;=0.8)),0)</f>
        <v/>
      </c>
      <c r="Z7" s="46">
        <f>IFERROR(--AND(tblHistory[[#This Row],[Score]]&gt;=70,tblHistory[[#This Row],[SOX S]]&gt;=0.83,tblHistory[[#This Row],[AIQ S]]&gt;=0.8),0)</f>
        <v/>
      </c>
      <c r="AA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">
      <c r="A8" s="42" t="n">
        <v>46316</v>
      </c>
      <c r="B8" s="43" t="n">
        <v>29822.5195</v>
      </c>
      <c r="C8" s="43" t="n">
        <v>11505.5596</v>
      </c>
      <c r="D8" s="43" t="n">
        <v>64</v>
      </c>
      <c r="E8" s="43" t="n">
        <v>25.61</v>
      </c>
      <c r="F8" s="44" t="n">
        <v>109</v>
      </c>
      <c r="G8" s="44" t="n">
        <v>1307</v>
      </c>
      <c r="H8" s="43" t="n">
        <v>11.79</v>
      </c>
      <c r="I8" s="43" t="n">
        <v>20.32</v>
      </c>
      <c r="J8" s="44" t="n">
        <v>327</v>
      </c>
      <c r="K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" s="46">
        <f>(Dashboard!$C$13*tblHistory[[#This Row],[NDX S]]+Dashboard!$C$14*tblHistory[[#This Row],[SOX S]]+Dashboard!$C$15*tblHistory[[#This Row],[AIQ S]])/(Dashboard!$C$13+Dashboard!$C$14+Dashboard!$C$15)*100</f>
        <v/>
      </c>
      <c r="U8" s="46">
        <f>(Dashboard!$C$16*tblHistory[[#This Row],[DTCR S]]+Dashboard!$C$17*tblHistory[[#This Row],[BBB S]]+Dashboard!$C$18*tblHistory[[#This Row],[CCC S]])/(Dashboard!$C$16+Dashboard!$C$17+Dashboard!$C$18)*100</f>
        <v/>
      </c>
      <c r="V8" s="46">
        <f>(Dashboard!$C$19*tblHistory[[#This Row],[BIZD S]]+Dashboard!$C$20*tblHistory[[#This Row],[BKLN S]]+Dashboard!$C$21*tblHistory[[#This Row],[HY S]])/(Dashboard!$C$19+Dashboard!$C$20+Dashboard!$C$21)*100</f>
        <v/>
      </c>
      <c r="W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" s="46">
        <f>IFERROR(--(tblHistory[[#This Row],[Score]]&gt;=50),0)</f>
        <v/>
      </c>
      <c r="Y8" s="46">
        <f>IFERROR(--AND(tblHistory[[#This Row],[Score]]&gt;=60,OR(AND(tblHistory[[#This Row],[BIZD S]]&gt;=0.8,tblHistory[[#This Row],[BKLN S]]&gt;=0.5),tblHistory[[#This Row],[CCC S]]&gt;=0.8)),0)</f>
        <v/>
      </c>
      <c r="Z8" s="46">
        <f>IFERROR(--AND(tblHistory[[#This Row],[Score]]&gt;=70,tblHistory[[#This Row],[SOX S]]&gt;=0.83,tblHistory[[#This Row],[AIQ S]]&gt;=0.8),0)</f>
        <v/>
      </c>
      <c r="AA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">
      <c r="A9" s="42" t="n">
        <v>46315</v>
      </c>
      <c r="B9" s="43" t="n">
        <v>29490.2793</v>
      </c>
      <c r="C9" s="43" t="n">
        <v>11283.8096</v>
      </c>
      <c r="D9" s="43" t="n">
        <v>63.18</v>
      </c>
      <c r="E9" s="43" t="n">
        <v>25.9</v>
      </c>
      <c r="F9" s="44" t="n">
        <v>108</v>
      </c>
      <c r="G9" s="44" t="n">
        <v>1327</v>
      </c>
      <c r="H9" s="43" t="n">
        <v>11.82</v>
      </c>
      <c r="I9" s="43" t="n">
        <v>20.3</v>
      </c>
      <c r="J9" s="44" t="n">
        <v>333</v>
      </c>
      <c r="K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" s="46">
        <f>(Dashboard!$C$13*tblHistory[[#This Row],[NDX S]]+Dashboard!$C$14*tblHistory[[#This Row],[SOX S]]+Dashboard!$C$15*tblHistory[[#This Row],[AIQ S]])/(Dashboard!$C$13+Dashboard!$C$14+Dashboard!$C$15)*100</f>
        <v/>
      </c>
      <c r="U9" s="46">
        <f>(Dashboard!$C$16*tblHistory[[#This Row],[DTCR S]]+Dashboard!$C$17*tblHistory[[#This Row],[BBB S]]+Dashboard!$C$18*tblHistory[[#This Row],[CCC S]])/(Dashboard!$C$16+Dashboard!$C$17+Dashboard!$C$18)*100</f>
        <v/>
      </c>
      <c r="V9" s="46">
        <f>(Dashboard!$C$19*tblHistory[[#This Row],[BIZD S]]+Dashboard!$C$20*tblHistory[[#This Row],[BKLN S]]+Dashboard!$C$21*tblHistory[[#This Row],[HY S]])/(Dashboard!$C$19+Dashboard!$C$20+Dashboard!$C$21)*100</f>
        <v/>
      </c>
      <c r="W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" s="46">
        <f>IFERROR(--(tblHistory[[#This Row],[Score]]&gt;=50),0)</f>
        <v/>
      </c>
      <c r="Y9" s="46">
        <f>IFERROR(--AND(tblHistory[[#This Row],[Score]]&gt;=60,OR(AND(tblHistory[[#This Row],[BIZD S]]&gt;=0.8,tblHistory[[#This Row],[BKLN S]]&gt;=0.5),tblHistory[[#This Row],[CCC S]]&gt;=0.8)),0)</f>
        <v/>
      </c>
      <c r="Z9" s="46">
        <f>IFERROR(--AND(tblHistory[[#This Row],[Score]]&gt;=70,tblHistory[[#This Row],[SOX S]]&gt;=0.83,tblHistory[[#This Row],[AIQ S]]&gt;=0.8),0)</f>
        <v/>
      </c>
      <c r="AA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">
      <c r="A10" s="42" t="n">
        <v>46314</v>
      </c>
      <c r="B10" s="43" t="n">
        <v>29529.3496</v>
      </c>
      <c r="C10" s="43" t="n">
        <v>11316.3398</v>
      </c>
      <c r="D10" s="43" t="n">
        <v>62.96</v>
      </c>
      <c r="E10" s="43" t="n">
        <v>25.7</v>
      </c>
      <c r="F10" s="44" t="n">
        <v>108</v>
      </c>
      <c r="G10" s="44" t="n">
        <v>1310</v>
      </c>
      <c r="H10" s="43" t="n">
        <v>11.81</v>
      </c>
      <c r="I10" s="43" t="n">
        <v>20.32</v>
      </c>
      <c r="J10" s="44" t="n">
        <v>329</v>
      </c>
      <c r="K1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" s="46">
        <f>(Dashboard!$C$13*tblHistory[[#This Row],[NDX S]]+Dashboard!$C$14*tblHistory[[#This Row],[SOX S]]+Dashboard!$C$15*tblHistory[[#This Row],[AIQ S]])/(Dashboard!$C$13+Dashboard!$C$14+Dashboard!$C$15)*100</f>
        <v/>
      </c>
      <c r="U10" s="46">
        <f>(Dashboard!$C$16*tblHistory[[#This Row],[DTCR S]]+Dashboard!$C$17*tblHistory[[#This Row],[BBB S]]+Dashboard!$C$18*tblHistory[[#This Row],[CCC S]])/(Dashboard!$C$16+Dashboard!$C$17+Dashboard!$C$18)*100</f>
        <v/>
      </c>
      <c r="V10" s="46">
        <f>(Dashboard!$C$19*tblHistory[[#This Row],[BIZD S]]+Dashboard!$C$20*tblHistory[[#This Row],[BKLN S]]+Dashboard!$C$21*tblHistory[[#This Row],[HY S]])/(Dashboard!$C$19+Dashboard!$C$20+Dashboard!$C$21)*100</f>
        <v/>
      </c>
      <c r="W1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" s="46">
        <f>IFERROR(--(tblHistory[[#This Row],[Score]]&gt;=50),0)</f>
        <v/>
      </c>
      <c r="Y10" s="46">
        <f>IFERROR(--AND(tblHistory[[#This Row],[Score]]&gt;=60,OR(AND(tblHistory[[#This Row],[BIZD S]]&gt;=0.8,tblHistory[[#This Row],[BKLN S]]&gt;=0.5),tblHistory[[#This Row],[CCC S]]&gt;=0.8)),0)</f>
        <v/>
      </c>
      <c r="Z10" s="46">
        <f>IFERROR(--AND(tblHistory[[#This Row],[Score]]&gt;=70,tblHistory[[#This Row],[SOX S]]&gt;=0.83,tblHistory[[#This Row],[AIQ S]]&gt;=0.8),0)</f>
        <v/>
      </c>
      <c r="AA1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">
      <c r="A11" s="42" t="n">
        <v>46311</v>
      </c>
      <c r="B11" s="43" t="n">
        <v>29187.5508</v>
      </c>
      <c r="C11" s="43" t="n">
        <v>11137.29</v>
      </c>
      <c r="D11" s="43" t="n">
        <v>62.02</v>
      </c>
      <c r="E11" s="43" t="n">
        <v>25.78</v>
      </c>
      <c r="F11" s="44" t="n">
        <v>106</v>
      </c>
      <c r="G11" s="44" t="n">
        <v>1297</v>
      </c>
      <c r="H11" s="43" t="n">
        <v>12.01</v>
      </c>
      <c r="I11" s="43" t="n">
        <v>20.324</v>
      </c>
      <c r="J11" s="44" t="n">
        <v>331</v>
      </c>
      <c r="K1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" s="46">
        <f>(Dashboard!$C$13*tblHistory[[#This Row],[NDX S]]+Dashboard!$C$14*tblHistory[[#This Row],[SOX S]]+Dashboard!$C$15*tblHistory[[#This Row],[AIQ S]])/(Dashboard!$C$13+Dashboard!$C$14+Dashboard!$C$15)*100</f>
        <v/>
      </c>
      <c r="U11" s="46">
        <f>(Dashboard!$C$16*tblHistory[[#This Row],[DTCR S]]+Dashboard!$C$17*tblHistory[[#This Row],[BBB S]]+Dashboard!$C$18*tblHistory[[#This Row],[CCC S]])/(Dashboard!$C$16+Dashboard!$C$17+Dashboard!$C$18)*100</f>
        <v/>
      </c>
      <c r="V11" s="46">
        <f>(Dashboard!$C$19*tblHistory[[#This Row],[BIZD S]]+Dashboard!$C$20*tblHistory[[#This Row],[BKLN S]]+Dashboard!$C$21*tblHistory[[#This Row],[HY S]])/(Dashboard!$C$19+Dashboard!$C$20+Dashboard!$C$21)*100</f>
        <v/>
      </c>
      <c r="W1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" s="46">
        <f>IFERROR(--(tblHistory[[#This Row],[Score]]&gt;=50),0)</f>
        <v/>
      </c>
      <c r="Y11" s="46">
        <f>IFERROR(--AND(tblHistory[[#This Row],[Score]]&gt;=60,OR(AND(tblHistory[[#This Row],[BIZD S]]&gt;=0.8,tblHistory[[#This Row],[BKLN S]]&gt;=0.5),tblHistory[[#This Row],[CCC S]]&gt;=0.8)),0)</f>
        <v/>
      </c>
      <c r="Z11" s="46">
        <f>IFERROR(--AND(tblHistory[[#This Row],[Score]]&gt;=70,tblHistory[[#This Row],[SOX S]]&gt;=0.83,tblHistory[[#This Row],[AIQ S]]&gt;=0.8),0)</f>
        <v/>
      </c>
      <c r="AA1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">
      <c r="A12" s="42" t="n">
        <v>46310</v>
      </c>
      <c r="B12" s="43" t="n">
        <v>29935.5996</v>
      </c>
      <c r="C12" s="43" t="n">
        <v>11581.21</v>
      </c>
      <c r="D12" s="43" t="n">
        <v>64.09</v>
      </c>
      <c r="E12" s="43" t="n">
        <v>26.24</v>
      </c>
      <c r="F12" s="44" t="n">
        <v>105</v>
      </c>
      <c r="G12" s="44" t="n">
        <v>1278</v>
      </c>
      <c r="H12" s="43" t="n">
        <v>12.23</v>
      </c>
      <c r="I12" s="43" t="n">
        <v>20.3538</v>
      </c>
      <c r="J12" s="44" t="n">
        <v>323</v>
      </c>
      <c r="K1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" s="46">
        <f>(Dashboard!$C$13*tblHistory[[#This Row],[NDX S]]+Dashboard!$C$14*tblHistory[[#This Row],[SOX S]]+Dashboard!$C$15*tblHistory[[#This Row],[AIQ S]])/(Dashboard!$C$13+Dashboard!$C$14+Dashboard!$C$15)*100</f>
        <v/>
      </c>
      <c r="U12" s="46">
        <f>(Dashboard!$C$16*tblHistory[[#This Row],[DTCR S]]+Dashboard!$C$17*tblHistory[[#This Row],[BBB S]]+Dashboard!$C$18*tblHistory[[#This Row],[CCC S]])/(Dashboard!$C$16+Dashboard!$C$17+Dashboard!$C$18)*100</f>
        <v/>
      </c>
      <c r="V12" s="46">
        <f>(Dashboard!$C$19*tblHistory[[#This Row],[BIZD S]]+Dashboard!$C$20*tblHistory[[#This Row],[BKLN S]]+Dashboard!$C$21*tblHistory[[#This Row],[HY S]])/(Dashboard!$C$19+Dashboard!$C$20+Dashboard!$C$21)*100</f>
        <v/>
      </c>
      <c r="W1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" s="46">
        <f>IFERROR(--(tblHistory[[#This Row],[Score]]&gt;=50),0)</f>
        <v/>
      </c>
      <c r="Y12" s="46">
        <f>IFERROR(--AND(tblHistory[[#This Row],[Score]]&gt;=60,OR(AND(tblHistory[[#This Row],[BIZD S]]&gt;=0.8,tblHistory[[#This Row],[BKLN S]]&gt;=0.5),tblHistory[[#This Row],[CCC S]]&gt;=0.8)),0)</f>
        <v/>
      </c>
      <c r="Z12" s="46">
        <f>IFERROR(--AND(tblHistory[[#This Row],[Score]]&gt;=70,tblHistory[[#This Row],[SOX S]]&gt;=0.83,tblHistory[[#This Row],[AIQ S]]&gt;=0.8),0)</f>
        <v/>
      </c>
      <c r="AA1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">
      <c r="A13" s="42" t="n">
        <v>46309</v>
      </c>
      <c r="B13" s="43" t="n">
        <v>29950.8203</v>
      </c>
      <c r="C13" s="43" t="n">
        <v>11684.3799</v>
      </c>
      <c r="D13" s="43" t="n">
        <v>63.94</v>
      </c>
      <c r="E13" s="43" t="n">
        <v>26.29</v>
      </c>
      <c r="F13" s="44" t="n">
        <v>104</v>
      </c>
      <c r="G13" s="44" t="n">
        <v>1282</v>
      </c>
      <c r="H13" s="43" t="n">
        <v>12.02</v>
      </c>
      <c r="I13" s="43" t="n">
        <v>20.3141</v>
      </c>
      <c r="J13" s="44" t="n">
        <v>325</v>
      </c>
      <c r="K1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" s="46">
        <f>(Dashboard!$C$13*tblHistory[[#This Row],[NDX S]]+Dashboard!$C$14*tblHistory[[#This Row],[SOX S]]+Dashboard!$C$15*tblHistory[[#This Row],[AIQ S]])/(Dashboard!$C$13+Dashboard!$C$14+Dashboard!$C$15)*100</f>
        <v/>
      </c>
      <c r="U13" s="46">
        <f>(Dashboard!$C$16*tblHistory[[#This Row],[DTCR S]]+Dashboard!$C$17*tblHistory[[#This Row],[BBB S]]+Dashboard!$C$18*tblHistory[[#This Row],[CCC S]])/(Dashboard!$C$16+Dashboard!$C$17+Dashboard!$C$18)*100</f>
        <v/>
      </c>
      <c r="V13" s="46">
        <f>(Dashboard!$C$19*tblHistory[[#This Row],[BIZD S]]+Dashboard!$C$20*tblHistory[[#This Row],[BKLN S]]+Dashboard!$C$21*tblHistory[[#This Row],[HY S]])/(Dashboard!$C$19+Dashboard!$C$20+Dashboard!$C$21)*100</f>
        <v/>
      </c>
      <c r="W1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" s="46">
        <f>IFERROR(--(tblHistory[[#This Row],[Score]]&gt;=50),0)</f>
        <v/>
      </c>
      <c r="Y13" s="46">
        <f>IFERROR(--AND(tblHistory[[#This Row],[Score]]&gt;=60,OR(AND(tblHistory[[#This Row],[BIZD S]]&gt;=0.8,tblHistory[[#This Row],[BKLN S]]&gt;=0.5),tblHistory[[#This Row],[CCC S]]&gt;=0.8)),0)</f>
        <v/>
      </c>
      <c r="Z13" s="46">
        <f>IFERROR(--AND(tblHistory[[#This Row],[Score]]&gt;=70,tblHistory[[#This Row],[SOX S]]&gt;=0.83,tblHistory[[#This Row],[AIQ S]]&gt;=0.8),0)</f>
        <v/>
      </c>
      <c r="AA1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">
      <c r="A14" s="42" t="n">
        <v>46308</v>
      </c>
      <c r="B14" s="43" t="n">
        <v>30569.4805</v>
      </c>
      <c r="C14" s="43" t="n">
        <v>12208.79</v>
      </c>
      <c r="D14" s="43" t="n">
        <v>65.84999999999999</v>
      </c>
      <c r="E14" s="43" t="n">
        <v>27.33</v>
      </c>
      <c r="F14" s="44" t="n">
        <v>103</v>
      </c>
      <c r="G14" s="44" t="n">
        <v>1267</v>
      </c>
      <c r="H14" s="43" t="n">
        <v>12.02</v>
      </c>
      <c r="I14" s="43" t="n">
        <v>20.3538</v>
      </c>
      <c r="J14" s="44" t="n">
        <v>316</v>
      </c>
      <c r="K1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" s="46">
        <f>(Dashboard!$C$13*tblHistory[[#This Row],[NDX S]]+Dashboard!$C$14*tblHistory[[#This Row],[SOX S]]+Dashboard!$C$15*tblHistory[[#This Row],[AIQ S]])/(Dashboard!$C$13+Dashboard!$C$14+Dashboard!$C$15)*100</f>
        <v/>
      </c>
      <c r="U14" s="46">
        <f>(Dashboard!$C$16*tblHistory[[#This Row],[DTCR S]]+Dashboard!$C$17*tblHistory[[#This Row],[BBB S]]+Dashboard!$C$18*tblHistory[[#This Row],[CCC S]])/(Dashboard!$C$16+Dashboard!$C$17+Dashboard!$C$18)*100</f>
        <v/>
      </c>
      <c r="V14" s="46">
        <f>(Dashboard!$C$19*tblHistory[[#This Row],[BIZD S]]+Dashboard!$C$20*tblHistory[[#This Row],[BKLN S]]+Dashboard!$C$21*tblHistory[[#This Row],[HY S]])/(Dashboard!$C$19+Dashboard!$C$20+Dashboard!$C$21)*100</f>
        <v/>
      </c>
      <c r="W1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" s="46">
        <f>IFERROR(--(tblHistory[[#This Row],[Score]]&gt;=50),0)</f>
        <v/>
      </c>
      <c r="Y14" s="46">
        <f>IFERROR(--AND(tblHistory[[#This Row],[Score]]&gt;=60,OR(AND(tblHistory[[#This Row],[BIZD S]]&gt;=0.8,tblHistory[[#This Row],[BKLN S]]&gt;=0.5),tblHistory[[#This Row],[CCC S]]&gt;=0.8)),0)</f>
        <v/>
      </c>
      <c r="Z14" s="46">
        <f>IFERROR(--AND(tblHistory[[#This Row],[Score]]&gt;=70,tblHistory[[#This Row],[SOX S]]&gt;=0.83,tblHistory[[#This Row],[AIQ S]]&gt;=0.8),0)</f>
        <v/>
      </c>
      <c r="AA1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">
      <c r="A15" s="42" t="n">
        <v>46307</v>
      </c>
      <c r="B15" s="43" t="n">
        <v>30664.6992</v>
      </c>
      <c r="C15" s="43" t="n">
        <v>12236.79</v>
      </c>
      <c r="D15" s="43" t="n">
        <v>65.92</v>
      </c>
      <c r="E15" s="43" t="n">
        <v>27.73</v>
      </c>
      <c r="F15" s="44" t="n">
        <v>102</v>
      </c>
      <c r="G15" s="44" t="n">
        <v>1253</v>
      </c>
      <c r="H15" s="43" t="n">
        <v>12.1</v>
      </c>
      <c r="I15" s="43" t="n">
        <v>20.3638</v>
      </c>
      <c r="J15" s="44" t="n">
        <v>311</v>
      </c>
      <c r="K1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" s="46">
        <f>(Dashboard!$C$13*tblHistory[[#This Row],[NDX S]]+Dashboard!$C$14*tblHistory[[#This Row],[SOX S]]+Dashboard!$C$15*tblHistory[[#This Row],[AIQ S]])/(Dashboard!$C$13+Dashboard!$C$14+Dashboard!$C$15)*100</f>
        <v/>
      </c>
      <c r="U15" s="46">
        <f>(Dashboard!$C$16*tblHistory[[#This Row],[DTCR S]]+Dashboard!$C$17*tblHistory[[#This Row],[BBB S]]+Dashboard!$C$18*tblHistory[[#This Row],[CCC S]])/(Dashboard!$C$16+Dashboard!$C$17+Dashboard!$C$18)*100</f>
        <v/>
      </c>
      <c r="V15" s="46">
        <f>(Dashboard!$C$19*tblHistory[[#This Row],[BIZD S]]+Dashboard!$C$20*tblHistory[[#This Row],[BKLN S]]+Dashboard!$C$21*tblHistory[[#This Row],[HY S]])/(Dashboard!$C$19+Dashboard!$C$20+Dashboard!$C$21)*100</f>
        <v/>
      </c>
      <c r="W1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" s="46">
        <f>IFERROR(--(tblHistory[[#This Row],[Score]]&gt;=50),0)</f>
        <v/>
      </c>
      <c r="Y15" s="46">
        <f>IFERROR(--AND(tblHistory[[#This Row],[Score]]&gt;=60,OR(AND(tblHistory[[#This Row],[BIZD S]]&gt;=0.8,tblHistory[[#This Row],[BKLN S]]&gt;=0.5),tblHistory[[#This Row],[CCC S]]&gt;=0.8)),0)</f>
        <v/>
      </c>
      <c r="Z15" s="46">
        <f>IFERROR(--AND(tblHistory[[#This Row],[Score]]&gt;=70,tblHistory[[#This Row],[SOX S]]&gt;=0.83,tblHistory[[#This Row],[AIQ S]]&gt;=0.8),0)</f>
        <v/>
      </c>
      <c r="AA1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">
      <c r="A16" s="42" t="n">
        <v>46304</v>
      </c>
      <c r="B16" s="43" t="n">
        <v>30883.1504</v>
      </c>
      <c r="C16" s="43" t="n">
        <v>12572.4199</v>
      </c>
      <c r="D16" s="43" t="n">
        <v>66.59999999999999</v>
      </c>
      <c r="E16" s="43" t="n">
        <v>27.97</v>
      </c>
      <c r="F16" s="44" t="n">
        <v>102</v>
      </c>
      <c r="G16" s="44" t="n">
        <v>1253</v>
      </c>
      <c r="H16" s="43" t="n">
        <v>12.08</v>
      </c>
      <c r="I16" s="43" t="n">
        <v>20.3538</v>
      </c>
      <c r="J16" s="44" t="n">
        <v>311</v>
      </c>
      <c r="K1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" s="46">
        <f>(Dashboard!$C$13*tblHistory[[#This Row],[NDX S]]+Dashboard!$C$14*tblHistory[[#This Row],[SOX S]]+Dashboard!$C$15*tblHistory[[#This Row],[AIQ S]])/(Dashboard!$C$13+Dashboard!$C$14+Dashboard!$C$15)*100</f>
        <v/>
      </c>
      <c r="U16" s="46">
        <f>(Dashboard!$C$16*tblHistory[[#This Row],[DTCR S]]+Dashboard!$C$17*tblHistory[[#This Row],[BBB S]]+Dashboard!$C$18*tblHistory[[#This Row],[CCC S]])/(Dashboard!$C$16+Dashboard!$C$17+Dashboard!$C$18)*100</f>
        <v/>
      </c>
      <c r="V16" s="46">
        <f>(Dashboard!$C$19*tblHistory[[#This Row],[BIZD S]]+Dashboard!$C$20*tblHistory[[#This Row],[BKLN S]]+Dashboard!$C$21*tblHistory[[#This Row],[HY S]])/(Dashboard!$C$19+Dashboard!$C$20+Dashboard!$C$21)*100</f>
        <v/>
      </c>
      <c r="W1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" s="46">
        <f>IFERROR(--(tblHistory[[#This Row],[Score]]&gt;=50),0)</f>
        <v/>
      </c>
      <c r="Y16" s="46">
        <f>IFERROR(--AND(tblHistory[[#This Row],[Score]]&gt;=60,OR(AND(tblHistory[[#This Row],[BIZD S]]&gt;=0.8,tblHistory[[#This Row],[BKLN S]]&gt;=0.5),tblHistory[[#This Row],[CCC S]]&gt;=0.8)),0)</f>
        <v/>
      </c>
      <c r="Z16" s="46">
        <f>IFERROR(--AND(tblHistory[[#This Row],[Score]]&gt;=70,tblHistory[[#This Row],[SOX S]]&gt;=0.83,tblHistory[[#This Row],[AIQ S]]&gt;=0.8),0)</f>
        <v/>
      </c>
      <c r="AA1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">
      <c r="A17" s="42" t="n">
        <v>46303</v>
      </c>
      <c r="B17" s="43" t="n">
        <v>30725.8105</v>
      </c>
      <c r="C17" s="43" t="n">
        <v>12623.71</v>
      </c>
      <c r="D17" s="43" t="n">
        <v>65.59999999999999</v>
      </c>
      <c r="E17" s="43" t="n">
        <v>27.15</v>
      </c>
      <c r="F17" s="44" t="n">
        <v>102</v>
      </c>
      <c r="G17" s="44" t="n">
        <v>1252</v>
      </c>
      <c r="H17" s="43" t="n">
        <v>12.17</v>
      </c>
      <c r="I17" s="43" t="n">
        <v>20.3737</v>
      </c>
      <c r="J17" s="44" t="n">
        <v>315</v>
      </c>
      <c r="K1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" s="46">
        <f>(Dashboard!$C$13*tblHistory[[#This Row],[NDX S]]+Dashboard!$C$14*tblHistory[[#This Row],[SOX S]]+Dashboard!$C$15*tblHistory[[#This Row],[AIQ S]])/(Dashboard!$C$13+Dashboard!$C$14+Dashboard!$C$15)*100</f>
        <v/>
      </c>
      <c r="U17" s="46">
        <f>(Dashboard!$C$16*tblHistory[[#This Row],[DTCR S]]+Dashboard!$C$17*tblHistory[[#This Row],[BBB S]]+Dashboard!$C$18*tblHistory[[#This Row],[CCC S]])/(Dashboard!$C$16+Dashboard!$C$17+Dashboard!$C$18)*100</f>
        <v/>
      </c>
      <c r="V17" s="46">
        <f>(Dashboard!$C$19*tblHistory[[#This Row],[BIZD S]]+Dashboard!$C$20*tblHistory[[#This Row],[BKLN S]]+Dashboard!$C$21*tblHistory[[#This Row],[HY S]])/(Dashboard!$C$19+Dashboard!$C$20+Dashboard!$C$21)*100</f>
        <v/>
      </c>
      <c r="W1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" s="46">
        <f>IFERROR(--(tblHistory[[#This Row],[Score]]&gt;=50),0)</f>
        <v/>
      </c>
      <c r="Y17" s="46">
        <f>IFERROR(--AND(tblHistory[[#This Row],[Score]]&gt;=60,OR(AND(tblHistory[[#This Row],[BIZD S]]&gt;=0.8,tblHistory[[#This Row],[BKLN S]]&gt;=0.5),tblHistory[[#This Row],[CCC S]]&gt;=0.8)),0)</f>
        <v/>
      </c>
      <c r="Z17" s="46">
        <f>IFERROR(--AND(tblHistory[[#This Row],[Score]]&gt;=70,tblHistory[[#This Row],[SOX S]]&gt;=0.83,tblHistory[[#This Row],[AIQ S]]&gt;=0.8),0)</f>
        <v/>
      </c>
      <c r="AA1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">
      <c r="A18" s="42" t="n">
        <v>46302</v>
      </c>
      <c r="B18" s="43" t="n">
        <v>31160.0801</v>
      </c>
      <c r="C18" s="43" t="n">
        <v>13066.1504</v>
      </c>
      <c r="D18" s="43" t="n">
        <v>66.67</v>
      </c>
      <c r="E18" s="43" t="n">
        <v>27.68</v>
      </c>
      <c r="F18" s="44" t="n">
        <v>102</v>
      </c>
      <c r="G18" s="44" t="n">
        <v>1229</v>
      </c>
      <c r="H18" s="43" t="n">
        <v>12.03</v>
      </c>
      <c r="I18" s="43" t="n">
        <v>20.3737</v>
      </c>
      <c r="J18" s="44" t="n">
        <v>309</v>
      </c>
      <c r="K1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" s="46">
        <f>(Dashboard!$C$13*tblHistory[[#This Row],[NDX S]]+Dashboard!$C$14*tblHistory[[#This Row],[SOX S]]+Dashboard!$C$15*tblHistory[[#This Row],[AIQ S]])/(Dashboard!$C$13+Dashboard!$C$14+Dashboard!$C$15)*100</f>
        <v/>
      </c>
      <c r="U18" s="46">
        <f>(Dashboard!$C$16*tblHistory[[#This Row],[DTCR S]]+Dashboard!$C$17*tblHistory[[#This Row],[BBB S]]+Dashboard!$C$18*tblHistory[[#This Row],[CCC S]])/(Dashboard!$C$16+Dashboard!$C$17+Dashboard!$C$18)*100</f>
        <v/>
      </c>
      <c r="V18" s="46">
        <f>(Dashboard!$C$19*tblHistory[[#This Row],[BIZD S]]+Dashboard!$C$20*tblHistory[[#This Row],[BKLN S]]+Dashboard!$C$21*tblHistory[[#This Row],[HY S]])/(Dashboard!$C$19+Dashboard!$C$20+Dashboard!$C$21)*100</f>
        <v/>
      </c>
      <c r="W1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" s="46">
        <f>IFERROR(--(tblHistory[[#This Row],[Score]]&gt;=50),0)</f>
        <v/>
      </c>
      <c r="Y18" s="46">
        <f>IFERROR(--AND(tblHistory[[#This Row],[Score]]&gt;=60,OR(AND(tblHistory[[#This Row],[BIZD S]]&gt;=0.8,tblHistory[[#This Row],[BKLN S]]&gt;=0.5),tblHistory[[#This Row],[CCC S]]&gt;=0.8)),0)</f>
        <v/>
      </c>
      <c r="Z18" s="46">
        <f>IFERROR(--AND(tblHistory[[#This Row],[Score]]&gt;=70,tblHistory[[#This Row],[SOX S]]&gt;=0.83,tblHistory[[#This Row],[AIQ S]]&gt;=0.8),0)</f>
        <v/>
      </c>
      <c r="AA1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">
      <c r="A19" s="42" t="n">
        <v>46301</v>
      </c>
      <c r="B19" s="43" t="n">
        <v>31224.4707</v>
      </c>
      <c r="C19" s="43" t="n">
        <v>13217.8203</v>
      </c>
      <c r="D19" s="43" t="n">
        <v>67.05</v>
      </c>
      <c r="E19" s="43" t="n">
        <v>27.78</v>
      </c>
      <c r="F19" s="44" t="n">
        <v>102</v>
      </c>
      <c r="G19" s="44" t="n">
        <v>1214</v>
      </c>
      <c r="H19" s="43" t="n">
        <v>12.13</v>
      </c>
      <c r="I19" s="43" t="n">
        <v>20.4035</v>
      </c>
      <c r="J19" s="44" t="n">
        <v>303</v>
      </c>
      <c r="K1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" s="46">
        <f>(Dashboard!$C$13*tblHistory[[#This Row],[NDX S]]+Dashboard!$C$14*tblHistory[[#This Row],[SOX S]]+Dashboard!$C$15*tblHistory[[#This Row],[AIQ S]])/(Dashboard!$C$13+Dashboard!$C$14+Dashboard!$C$15)*100</f>
        <v/>
      </c>
      <c r="U19" s="46">
        <f>(Dashboard!$C$16*tblHistory[[#This Row],[DTCR S]]+Dashboard!$C$17*tblHistory[[#This Row],[BBB S]]+Dashboard!$C$18*tblHistory[[#This Row],[CCC S]])/(Dashboard!$C$16+Dashboard!$C$17+Dashboard!$C$18)*100</f>
        <v/>
      </c>
      <c r="V19" s="46">
        <f>(Dashboard!$C$19*tblHistory[[#This Row],[BIZD S]]+Dashboard!$C$20*tblHistory[[#This Row],[BKLN S]]+Dashboard!$C$21*tblHistory[[#This Row],[HY S]])/(Dashboard!$C$19+Dashboard!$C$20+Dashboard!$C$21)*100</f>
        <v/>
      </c>
      <c r="W1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" s="46">
        <f>IFERROR(--(tblHistory[[#This Row],[Score]]&gt;=50),0)</f>
        <v/>
      </c>
      <c r="Y19" s="46">
        <f>IFERROR(--AND(tblHistory[[#This Row],[Score]]&gt;=60,OR(AND(tblHistory[[#This Row],[BIZD S]]&gt;=0.8,tblHistory[[#This Row],[BKLN S]]&gt;=0.5),tblHistory[[#This Row],[CCC S]]&gt;=0.8)),0)</f>
        <v/>
      </c>
      <c r="Z19" s="46">
        <f>IFERROR(--AND(tblHistory[[#This Row],[Score]]&gt;=70,tblHistory[[#This Row],[SOX S]]&gt;=0.83,tblHistory[[#This Row],[AIQ S]]&gt;=0.8),0)</f>
        <v/>
      </c>
      <c r="AA1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">
      <c r="A20" s="42" t="n">
        <v>46300</v>
      </c>
      <c r="B20" s="43" t="n">
        <v>31076.4395</v>
      </c>
      <c r="C20" s="43" t="n">
        <v>13172.7402</v>
      </c>
      <c r="D20" s="43" t="n">
        <v>66.84999999999999</v>
      </c>
      <c r="E20" s="43" t="n">
        <v>27.4</v>
      </c>
      <c r="F20" s="44" t="n">
        <v>104</v>
      </c>
      <c r="G20" s="44" t="n">
        <v>1211</v>
      </c>
      <c r="H20" s="43" t="n">
        <v>12.25</v>
      </c>
      <c r="I20" s="43" t="n">
        <v>20.3737</v>
      </c>
      <c r="J20" s="44" t="n">
        <v>312</v>
      </c>
      <c r="K2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" s="46">
        <f>(Dashboard!$C$13*tblHistory[[#This Row],[NDX S]]+Dashboard!$C$14*tblHistory[[#This Row],[SOX S]]+Dashboard!$C$15*tblHistory[[#This Row],[AIQ S]])/(Dashboard!$C$13+Dashboard!$C$14+Dashboard!$C$15)*100</f>
        <v/>
      </c>
      <c r="U20" s="46">
        <f>(Dashboard!$C$16*tblHistory[[#This Row],[DTCR S]]+Dashboard!$C$17*tblHistory[[#This Row],[BBB S]]+Dashboard!$C$18*tblHistory[[#This Row],[CCC S]])/(Dashboard!$C$16+Dashboard!$C$17+Dashboard!$C$18)*100</f>
        <v/>
      </c>
      <c r="V20" s="46">
        <f>(Dashboard!$C$19*tblHistory[[#This Row],[BIZD S]]+Dashboard!$C$20*tblHistory[[#This Row],[BKLN S]]+Dashboard!$C$21*tblHistory[[#This Row],[HY S]])/(Dashboard!$C$19+Dashboard!$C$20+Dashboard!$C$21)*100</f>
        <v/>
      </c>
      <c r="W2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" s="46">
        <f>IFERROR(--(tblHistory[[#This Row],[Score]]&gt;=50),0)</f>
        <v/>
      </c>
      <c r="Y20" s="46">
        <f>IFERROR(--AND(tblHistory[[#This Row],[Score]]&gt;=60,OR(AND(tblHistory[[#This Row],[BIZD S]]&gt;=0.8,tblHistory[[#This Row],[BKLN S]]&gt;=0.5),tblHistory[[#This Row],[CCC S]]&gt;=0.8)),0)</f>
        <v/>
      </c>
      <c r="Z20" s="46">
        <f>IFERROR(--AND(tblHistory[[#This Row],[Score]]&gt;=70,tblHistory[[#This Row],[SOX S]]&gt;=0.83,tblHistory[[#This Row],[AIQ S]]&gt;=0.8),0)</f>
        <v/>
      </c>
      <c r="AA2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">
      <c r="A21" s="42" t="n">
        <v>46297</v>
      </c>
      <c r="B21" s="43" t="n">
        <v>30807.9297</v>
      </c>
      <c r="C21" s="43" t="n">
        <v>13136.6699</v>
      </c>
      <c r="D21" s="43" t="n">
        <v>66.23</v>
      </c>
      <c r="E21" s="43" t="n">
        <v>27.27</v>
      </c>
      <c r="F21" s="44" t="n">
        <v>104</v>
      </c>
      <c r="G21" s="44" t="n">
        <v>1202</v>
      </c>
      <c r="H21" s="43" t="n">
        <v>12.32</v>
      </c>
      <c r="I21" s="43" t="n">
        <v>20.3638</v>
      </c>
      <c r="J21" s="44" t="n">
        <v>310</v>
      </c>
      <c r="K2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" s="46">
        <f>(Dashboard!$C$13*tblHistory[[#This Row],[NDX S]]+Dashboard!$C$14*tblHistory[[#This Row],[SOX S]]+Dashboard!$C$15*tblHistory[[#This Row],[AIQ S]])/(Dashboard!$C$13+Dashboard!$C$14+Dashboard!$C$15)*100</f>
        <v/>
      </c>
      <c r="U21" s="46">
        <f>(Dashboard!$C$16*tblHistory[[#This Row],[DTCR S]]+Dashboard!$C$17*tblHistory[[#This Row],[BBB S]]+Dashboard!$C$18*tblHistory[[#This Row],[CCC S]])/(Dashboard!$C$16+Dashboard!$C$17+Dashboard!$C$18)*100</f>
        <v/>
      </c>
      <c r="V21" s="46">
        <f>(Dashboard!$C$19*tblHistory[[#This Row],[BIZD S]]+Dashboard!$C$20*tblHistory[[#This Row],[BKLN S]]+Dashboard!$C$21*tblHistory[[#This Row],[HY S]])/(Dashboard!$C$19+Dashboard!$C$20+Dashboard!$C$21)*100</f>
        <v/>
      </c>
      <c r="W2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" s="46">
        <f>IFERROR(--(tblHistory[[#This Row],[Score]]&gt;=50),0)</f>
        <v/>
      </c>
      <c r="Y21" s="46">
        <f>IFERROR(--AND(tblHistory[[#This Row],[Score]]&gt;=60,OR(AND(tblHistory[[#This Row],[BIZD S]]&gt;=0.8,tblHistory[[#This Row],[BKLN S]]&gt;=0.5),tblHistory[[#This Row],[CCC S]]&gt;=0.8)),0)</f>
        <v/>
      </c>
      <c r="Z21" s="46">
        <f>IFERROR(--AND(tblHistory[[#This Row],[Score]]&gt;=70,tblHistory[[#This Row],[SOX S]]&gt;=0.83,tblHistory[[#This Row],[AIQ S]]&gt;=0.8),0)</f>
        <v/>
      </c>
      <c r="AA2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">
      <c r="A22" s="42" t="n">
        <v>46296</v>
      </c>
      <c r="B22" s="43" t="n">
        <v>30501.5605</v>
      </c>
      <c r="C22" s="43" t="n">
        <v>12829</v>
      </c>
      <c r="D22" s="43" t="n">
        <v>65.67</v>
      </c>
      <c r="E22" s="43" t="n">
        <v>27.07</v>
      </c>
      <c r="F22" s="44" t="n">
        <v>106</v>
      </c>
      <c r="G22" s="44" t="n">
        <v>1215</v>
      </c>
      <c r="H22" s="43" t="n">
        <v>12.46</v>
      </c>
      <c r="I22" s="43" t="n">
        <v>20.3439</v>
      </c>
      <c r="J22" s="44" t="n">
        <v>324</v>
      </c>
      <c r="K2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" s="46">
        <f>(Dashboard!$C$13*tblHistory[[#This Row],[NDX S]]+Dashboard!$C$14*tblHistory[[#This Row],[SOX S]]+Dashboard!$C$15*tblHistory[[#This Row],[AIQ S]])/(Dashboard!$C$13+Dashboard!$C$14+Dashboard!$C$15)*100</f>
        <v/>
      </c>
      <c r="U22" s="46">
        <f>(Dashboard!$C$16*tblHistory[[#This Row],[DTCR S]]+Dashboard!$C$17*tblHistory[[#This Row],[BBB S]]+Dashboard!$C$18*tblHistory[[#This Row],[CCC S]])/(Dashboard!$C$16+Dashboard!$C$17+Dashboard!$C$18)*100</f>
        <v/>
      </c>
      <c r="V22" s="46">
        <f>(Dashboard!$C$19*tblHistory[[#This Row],[BIZD S]]+Dashboard!$C$20*tblHistory[[#This Row],[BKLN S]]+Dashboard!$C$21*tblHistory[[#This Row],[HY S]])/(Dashboard!$C$19+Dashboard!$C$20+Dashboard!$C$21)*100</f>
        <v/>
      </c>
      <c r="W2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" s="46">
        <f>IFERROR(--(tblHistory[[#This Row],[Score]]&gt;=50),0)</f>
        <v/>
      </c>
      <c r="Y22" s="46">
        <f>IFERROR(--AND(tblHistory[[#This Row],[Score]]&gt;=60,OR(AND(tblHistory[[#This Row],[BIZD S]]&gt;=0.8,tblHistory[[#This Row],[BKLN S]]&gt;=0.5),tblHistory[[#This Row],[CCC S]]&gt;=0.8)),0)</f>
        <v/>
      </c>
      <c r="Z22" s="46">
        <f>IFERROR(--AND(tblHistory[[#This Row],[Score]]&gt;=70,tblHistory[[#This Row],[SOX S]]&gt;=0.83,tblHistory[[#This Row],[AIQ S]]&gt;=0.8),0)</f>
        <v/>
      </c>
      <c r="AA2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">
      <c r="A23" s="42" t="n">
        <v>46295</v>
      </c>
      <c r="B23" s="43" t="n">
        <v>30408.5</v>
      </c>
      <c r="C23" s="43" t="n">
        <v>12628.6201</v>
      </c>
      <c r="D23" s="43" t="n">
        <v>65.16</v>
      </c>
      <c r="E23" s="43" t="n">
        <v>27.14</v>
      </c>
      <c r="F23" s="44" t="n">
        <v>103</v>
      </c>
      <c r="G23" s="44" t="n">
        <v>1179</v>
      </c>
      <c r="H23" s="43" t="n">
        <v>12.453</v>
      </c>
      <c r="I23" s="43" t="n">
        <v>20.3141</v>
      </c>
      <c r="J23" s="44" t="n">
        <v>312</v>
      </c>
      <c r="K2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" s="46">
        <f>(Dashboard!$C$13*tblHistory[[#This Row],[NDX S]]+Dashboard!$C$14*tblHistory[[#This Row],[SOX S]]+Dashboard!$C$15*tblHistory[[#This Row],[AIQ S]])/(Dashboard!$C$13+Dashboard!$C$14+Dashboard!$C$15)*100</f>
        <v/>
      </c>
      <c r="U23" s="46">
        <f>(Dashboard!$C$16*tblHistory[[#This Row],[DTCR S]]+Dashboard!$C$17*tblHistory[[#This Row],[BBB S]]+Dashboard!$C$18*tblHistory[[#This Row],[CCC S]])/(Dashboard!$C$16+Dashboard!$C$17+Dashboard!$C$18)*100</f>
        <v/>
      </c>
      <c r="V23" s="46">
        <f>(Dashboard!$C$19*tblHistory[[#This Row],[BIZD S]]+Dashboard!$C$20*tblHistory[[#This Row],[BKLN S]]+Dashboard!$C$21*tblHistory[[#This Row],[HY S]])/(Dashboard!$C$19+Dashboard!$C$20+Dashboard!$C$21)*100</f>
        <v/>
      </c>
      <c r="W2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" s="46">
        <f>IFERROR(--(tblHistory[[#This Row],[Score]]&gt;=50),0)</f>
        <v/>
      </c>
      <c r="Y23" s="46">
        <f>IFERROR(--AND(tblHistory[[#This Row],[Score]]&gt;=60,OR(AND(tblHistory[[#This Row],[BIZD S]]&gt;=0.8,tblHistory[[#This Row],[BKLN S]]&gt;=0.5),tblHistory[[#This Row],[CCC S]]&gt;=0.8)),0)</f>
        <v/>
      </c>
      <c r="Z23" s="46">
        <f>IFERROR(--AND(tblHistory[[#This Row],[Score]]&gt;=70,tblHistory[[#This Row],[SOX S]]&gt;=0.83,tblHistory[[#This Row],[AIQ S]]&gt;=0.8),0)</f>
        <v/>
      </c>
      <c r="AA2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">
      <c r="A24" s="42" t="n">
        <v>46294</v>
      </c>
      <c r="B24" s="43" t="n">
        <v>30339.3301</v>
      </c>
      <c r="C24" s="43" t="n">
        <v>12629.1602</v>
      </c>
      <c r="D24" s="43" t="n">
        <v>65.05</v>
      </c>
      <c r="E24" s="43" t="n">
        <v>27.31</v>
      </c>
      <c r="F24" s="44" t="n">
        <v>102</v>
      </c>
      <c r="G24" s="44" t="n">
        <v>1157</v>
      </c>
      <c r="H24" s="43" t="n">
        <v>12.5303</v>
      </c>
      <c r="I24" s="43" t="n">
        <v>20.3439</v>
      </c>
      <c r="J24" s="44" t="n">
        <v>308</v>
      </c>
      <c r="K2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" s="46">
        <f>(Dashboard!$C$13*tblHistory[[#This Row],[NDX S]]+Dashboard!$C$14*tblHistory[[#This Row],[SOX S]]+Dashboard!$C$15*tblHistory[[#This Row],[AIQ S]])/(Dashboard!$C$13+Dashboard!$C$14+Dashboard!$C$15)*100</f>
        <v/>
      </c>
      <c r="U24" s="46">
        <f>(Dashboard!$C$16*tblHistory[[#This Row],[DTCR S]]+Dashboard!$C$17*tblHistory[[#This Row],[BBB S]]+Dashboard!$C$18*tblHistory[[#This Row],[CCC S]])/(Dashboard!$C$16+Dashboard!$C$17+Dashboard!$C$18)*100</f>
        <v/>
      </c>
      <c r="V24" s="46">
        <f>(Dashboard!$C$19*tblHistory[[#This Row],[BIZD S]]+Dashboard!$C$20*tblHistory[[#This Row],[BKLN S]]+Dashboard!$C$21*tblHistory[[#This Row],[HY S]])/(Dashboard!$C$19+Dashboard!$C$20+Dashboard!$C$21)*100</f>
        <v/>
      </c>
      <c r="W2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" s="46">
        <f>IFERROR(--(tblHistory[[#This Row],[Score]]&gt;=50),0)</f>
        <v/>
      </c>
      <c r="Y24" s="46">
        <f>IFERROR(--AND(tblHistory[[#This Row],[Score]]&gt;=60,OR(AND(tblHistory[[#This Row],[BIZD S]]&gt;=0.8,tblHistory[[#This Row],[BKLN S]]&gt;=0.5),tblHistory[[#This Row],[CCC S]]&gt;=0.8)),0)</f>
        <v/>
      </c>
      <c r="Z24" s="46">
        <f>IFERROR(--AND(tblHistory[[#This Row],[Score]]&gt;=70,tblHistory[[#This Row],[SOX S]]&gt;=0.83,tblHistory[[#This Row],[AIQ S]]&gt;=0.8),0)</f>
        <v/>
      </c>
      <c r="AA2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">
      <c r="A25" s="42" t="n">
        <v>46293</v>
      </c>
      <c r="B25" s="43" t="n">
        <v>30276.8105</v>
      </c>
      <c r="C25" s="43" t="n">
        <v>12465.2402</v>
      </c>
      <c r="D25" s="43" t="n">
        <v>64.70999999999999</v>
      </c>
      <c r="E25" s="43" t="n">
        <v>27.34</v>
      </c>
      <c r="F25" s="44" t="n">
        <v>102</v>
      </c>
      <c r="G25" s="44" t="n">
        <v>1146</v>
      </c>
      <c r="H25" s="43" t="n">
        <v>12.4337</v>
      </c>
      <c r="I25" s="43" t="n">
        <v>20.3538</v>
      </c>
      <c r="J25" s="44" t="n">
        <v>302</v>
      </c>
      <c r="K2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" s="46">
        <f>(Dashboard!$C$13*tblHistory[[#This Row],[NDX S]]+Dashboard!$C$14*tblHistory[[#This Row],[SOX S]]+Dashboard!$C$15*tblHistory[[#This Row],[AIQ S]])/(Dashboard!$C$13+Dashboard!$C$14+Dashboard!$C$15)*100</f>
        <v/>
      </c>
      <c r="U25" s="46">
        <f>(Dashboard!$C$16*tblHistory[[#This Row],[DTCR S]]+Dashboard!$C$17*tblHistory[[#This Row],[BBB S]]+Dashboard!$C$18*tblHistory[[#This Row],[CCC S]])/(Dashboard!$C$16+Dashboard!$C$17+Dashboard!$C$18)*100</f>
        <v/>
      </c>
      <c r="V25" s="46">
        <f>(Dashboard!$C$19*tblHistory[[#This Row],[BIZD S]]+Dashboard!$C$20*tblHistory[[#This Row],[BKLN S]]+Dashboard!$C$21*tblHistory[[#This Row],[HY S]])/(Dashboard!$C$19+Dashboard!$C$20+Dashboard!$C$21)*100</f>
        <v/>
      </c>
      <c r="W2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" s="46">
        <f>IFERROR(--(tblHistory[[#This Row],[Score]]&gt;=50),0)</f>
        <v/>
      </c>
      <c r="Y25" s="46">
        <f>IFERROR(--AND(tblHistory[[#This Row],[Score]]&gt;=60,OR(AND(tblHistory[[#This Row],[BIZD S]]&gt;=0.8,tblHistory[[#This Row],[BKLN S]]&gt;=0.5),tblHistory[[#This Row],[CCC S]]&gt;=0.8)),0)</f>
        <v/>
      </c>
      <c r="Z25" s="46">
        <f>IFERROR(--AND(tblHistory[[#This Row],[Score]]&gt;=70,tblHistory[[#This Row],[SOX S]]&gt;=0.83,tblHistory[[#This Row],[AIQ S]]&gt;=0.8),0)</f>
        <v/>
      </c>
      <c r="AA2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">
      <c r="A26" s="42" t="n">
        <v>46290</v>
      </c>
      <c r="B26" s="43" t="n">
        <v>30608.1309</v>
      </c>
      <c r="C26" s="43" t="n">
        <v>12668.9297</v>
      </c>
      <c r="D26" s="43" t="n">
        <v>65.97</v>
      </c>
      <c r="E26" s="43" t="n">
        <v>27.84</v>
      </c>
      <c r="F26" s="44" t="n">
        <v>99</v>
      </c>
      <c r="G26" s="44" t="n">
        <v>1128</v>
      </c>
      <c r="H26" s="43" t="n">
        <v>12.4723</v>
      </c>
      <c r="I26" s="43" t="n">
        <v>20.4135</v>
      </c>
      <c r="J26" s="44" t="n">
        <v>293</v>
      </c>
      <c r="K2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" s="46">
        <f>(Dashboard!$C$13*tblHistory[[#This Row],[NDX S]]+Dashboard!$C$14*tblHistory[[#This Row],[SOX S]]+Dashboard!$C$15*tblHistory[[#This Row],[AIQ S]])/(Dashboard!$C$13+Dashboard!$C$14+Dashboard!$C$15)*100</f>
        <v/>
      </c>
      <c r="U26" s="46">
        <f>(Dashboard!$C$16*tblHistory[[#This Row],[DTCR S]]+Dashboard!$C$17*tblHistory[[#This Row],[BBB S]]+Dashboard!$C$18*tblHistory[[#This Row],[CCC S]])/(Dashboard!$C$16+Dashboard!$C$17+Dashboard!$C$18)*100</f>
        <v/>
      </c>
      <c r="V26" s="46">
        <f>(Dashboard!$C$19*tblHistory[[#This Row],[BIZD S]]+Dashboard!$C$20*tblHistory[[#This Row],[BKLN S]]+Dashboard!$C$21*tblHistory[[#This Row],[HY S]])/(Dashboard!$C$19+Dashboard!$C$20+Dashboard!$C$21)*100</f>
        <v/>
      </c>
      <c r="W2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" s="46">
        <f>IFERROR(--(tblHistory[[#This Row],[Score]]&gt;=50),0)</f>
        <v/>
      </c>
      <c r="Y26" s="46">
        <f>IFERROR(--AND(tblHistory[[#This Row],[Score]]&gt;=60,OR(AND(tblHistory[[#This Row],[BIZD S]]&gt;=0.8,tblHistory[[#This Row],[BKLN S]]&gt;=0.5),tblHistory[[#This Row],[CCC S]]&gt;=0.8)),0)</f>
        <v/>
      </c>
      <c r="Z26" s="46">
        <f>IFERROR(--AND(tblHistory[[#This Row],[Score]]&gt;=70,tblHistory[[#This Row],[SOX S]]&gt;=0.83,tblHistory[[#This Row],[AIQ S]]&gt;=0.8),0)</f>
        <v/>
      </c>
      <c r="AA2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">
      <c r="A27" s="42" t="n">
        <v>46289</v>
      </c>
      <c r="B27" s="43" t="n">
        <v>30478.8594</v>
      </c>
      <c r="C27" s="43" t="n">
        <v>12492.54</v>
      </c>
      <c r="D27" s="43" t="n">
        <v>65.98</v>
      </c>
      <c r="E27" s="43" t="n">
        <v>27.965</v>
      </c>
      <c r="F27" s="44" t="n">
        <v>97</v>
      </c>
      <c r="G27" s="44" t="n">
        <v>1112</v>
      </c>
      <c r="H27" s="43" t="n">
        <v>12.4627</v>
      </c>
      <c r="I27" s="43" t="n">
        <v>20.3936</v>
      </c>
      <c r="J27" s="44" t="n">
        <v>280</v>
      </c>
      <c r="K2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" s="46">
        <f>(Dashboard!$C$13*tblHistory[[#This Row],[NDX S]]+Dashboard!$C$14*tblHistory[[#This Row],[SOX S]]+Dashboard!$C$15*tblHistory[[#This Row],[AIQ S]])/(Dashboard!$C$13+Dashboard!$C$14+Dashboard!$C$15)*100</f>
        <v/>
      </c>
      <c r="U27" s="46">
        <f>(Dashboard!$C$16*tblHistory[[#This Row],[DTCR S]]+Dashboard!$C$17*tblHistory[[#This Row],[BBB S]]+Dashboard!$C$18*tblHistory[[#This Row],[CCC S]])/(Dashboard!$C$16+Dashboard!$C$17+Dashboard!$C$18)*100</f>
        <v/>
      </c>
      <c r="V27" s="46">
        <f>(Dashboard!$C$19*tblHistory[[#This Row],[BIZD S]]+Dashboard!$C$20*tblHistory[[#This Row],[BKLN S]]+Dashboard!$C$21*tblHistory[[#This Row],[HY S]])/(Dashboard!$C$19+Dashboard!$C$20+Dashboard!$C$21)*100</f>
        <v/>
      </c>
      <c r="W2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" s="46">
        <f>IFERROR(--(tblHistory[[#This Row],[Score]]&gt;=50),0)</f>
        <v/>
      </c>
      <c r="Y27" s="46">
        <f>IFERROR(--AND(tblHistory[[#This Row],[Score]]&gt;=60,OR(AND(tblHistory[[#This Row],[BIZD S]]&gt;=0.8,tblHistory[[#This Row],[BKLN S]]&gt;=0.5),tblHistory[[#This Row],[CCC S]]&gt;=0.8)),0)</f>
        <v/>
      </c>
      <c r="Z27" s="46">
        <f>IFERROR(--AND(tblHistory[[#This Row],[Score]]&gt;=70,tblHistory[[#This Row],[SOX S]]&gt;=0.83,tblHistory[[#This Row],[AIQ S]]&gt;=0.8),0)</f>
        <v/>
      </c>
      <c r="AA2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">
      <c r="A28" s="42" t="n">
        <v>46288</v>
      </c>
      <c r="B28" s="43" t="n">
        <v>30470.2891</v>
      </c>
      <c r="C28" s="43" t="n">
        <v>12534.2803</v>
      </c>
      <c r="D28" s="43" t="n">
        <v>65.98999999999999</v>
      </c>
      <c r="E28" s="43" t="n">
        <v>28.16</v>
      </c>
      <c r="F28" s="44" t="n">
        <v>95</v>
      </c>
      <c r="G28" s="44" t="n">
        <v>1093</v>
      </c>
      <c r="H28" s="43" t="n">
        <v>12.5013</v>
      </c>
      <c r="I28" s="43" t="n">
        <v>20.4135</v>
      </c>
      <c r="J28" s="44" t="n">
        <v>273</v>
      </c>
      <c r="K2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" s="46">
        <f>(Dashboard!$C$13*tblHistory[[#This Row],[NDX S]]+Dashboard!$C$14*tblHistory[[#This Row],[SOX S]]+Dashboard!$C$15*tblHistory[[#This Row],[AIQ S]])/(Dashboard!$C$13+Dashboard!$C$14+Dashboard!$C$15)*100</f>
        <v/>
      </c>
      <c r="U28" s="46">
        <f>(Dashboard!$C$16*tblHistory[[#This Row],[DTCR S]]+Dashboard!$C$17*tblHistory[[#This Row],[BBB S]]+Dashboard!$C$18*tblHistory[[#This Row],[CCC S]])/(Dashboard!$C$16+Dashboard!$C$17+Dashboard!$C$18)*100</f>
        <v/>
      </c>
      <c r="V28" s="46">
        <f>(Dashboard!$C$19*tblHistory[[#This Row],[BIZD S]]+Dashboard!$C$20*tblHistory[[#This Row],[BKLN S]]+Dashboard!$C$21*tblHistory[[#This Row],[HY S]])/(Dashboard!$C$19+Dashboard!$C$20+Dashboard!$C$21)*100</f>
        <v/>
      </c>
      <c r="W2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" s="46">
        <f>IFERROR(--(tblHistory[[#This Row],[Score]]&gt;=50),0)</f>
        <v/>
      </c>
      <c r="Y28" s="46">
        <f>IFERROR(--AND(tblHistory[[#This Row],[Score]]&gt;=60,OR(AND(tblHistory[[#This Row],[BIZD S]]&gt;=0.8,tblHistory[[#This Row],[BKLN S]]&gt;=0.5),tblHistory[[#This Row],[CCC S]]&gt;=0.8)),0)</f>
        <v/>
      </c>
      <c r="Z28" s="46">
        <f>IFERROR(--AND(tblHistory[[#This Row],[Score]]&gt;=70,tblHistory[[#This Row],[SOX S]]&gt;=0.83,tblHistory[[#This Row],[AIQ S]]&gt;=0.8),0)</f>
        <v/>
      </c>
      <c r="AA2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">
      <c r="A29" s="42" t="n">
        <v>46287</v>
      </c>
      <c r="B29" s="43" t="n">
        <v>30732.4004</v>
      </c>
      <c r="C29" s="43" t="n">
        <v>12689.8203</v>
      </c>
      <c r="D29" s="43" t="n">
        <v>66.72</v>
      </c>
      <c r="E29" s="43" t="n">
        <v>28.79</v>
      </c>
      <c r="F29" s="44" t="n">
        <v>95</v>
      </c>
      <c r="G29" s="44" t="n">
        <v>1075</v>
      </c>
      <c r="H29" s="43" t="n">
        <v>12.6559</v>
      </c>
      <c r="I29" s="43" t="n">
        <v>20.4533</v>
      </c>
      <c r="J29" s="44" t="n">
        <v>268</v>
      </c>
      <c r="K2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" s="46">
        <f>(Dashboard!$C$13*tblHistory[[#This Row],[NDX S]]+Dashboard!$C$14*tblHistory[[#This Row],[SOX S]]+Dashboard!$C$15*tblHistory[[#This Row],[AIQ S]])/(Dashboard!$C$13+Dashboard!$C$14+Dashboard!$C$15)*100</f>
        <v/>
      </c>
      <c r="U29" s="46">
        <f>(Dashboard!$C$16*tblHistory[[#This Row],[DTCR S]]+Dashboard!$C$17*tblHistory[[#This Row],[BBB S]]+Dashboard!$C$18*tblHistory[[#This Row],[CCC S]])/(Dashboard!$C$16+Dashboard!$C$17+Dashboard!$C$18)*100</f>
        <v/>
      </c>
      <c r="V29" s="46">
        <f>(Dashboard!$C$19*tblHistory[[#This Row],[BIZD S]]+Dashboard!$C$20*tblHistory[[#This Row],[BKLN S]]+Dashboard!$C$21*tblHistory[[#This Row],[HY S]])/(Dashboard!$C$19+Dashboard!$C$20+Dashboard!$C$21)*100</f>
        <v/>
      </c>
      <c r="W2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" s="46">
        <f>IFERROR(--(tblHistory[[#This Row],[Score]]&gt;=50),0)</f>
        <v/>
      </c>
      <c r="Y29" s="46">
        <f>IFERROR(--AND(tblHistory[[#This Row],[Score]]&gt;=60,OR(AND(tblHistory[[#This Row],[BIZD S]]&gt;=0.8,tblHistory[[#This Row],[BKLN S]]&gt;=0.5),tblHistory[[#This Row],[CCC S]]&gt;=0.8)),0)</f>
        <v/>
      </c>
      <c r="Z29" s="46">
        <f>IFERROR(--AND(tblHistory[[#This Row],[Score]]&gt;=70,tblHistory[[#This Row],[SOX S]]&gt;=0.83,tblHistory[[#This Row],[AIQ S]]&gt;=0.8),0)</f>
        <v/>
      </c>
      <c r="AA2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">
      <c r="A30" s="42" t="n">
        <v>46286</v>
      </c>
      <c r="B30" s="43" t="n">
        <v>30482.3496</v>
      </c>
      <c r="C30" s="43" t="n">
        <v>12433.1699</v>
      </c>
      <c r="D30" s="43" t="n">
        <v>66.31</v>
      </c>
      <c r="E30" s="43" t="n">
        <v>28.69</v>
      </c>
      <c r="F30" s="44" t="n">
        <v>95</v>
      </c>
      <c r="G30" s="44" t="n">
        <v>1077</v>
      </c>
      <c r="H30" s="43" t="n">
        <v>12.7235</v>
      </c>
      <c r="I30" s="43" t="n">
        <v>20.4433</v>
      </c>
      <c r="J30" s="44" t="n">
        <v>266</v>
      </c>
      <c r="K3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" s="46">
        <f>(Dashboard!$C$13*tblHistory[[#This Row],[NDX S]]+Dashboard!$C$14*tblHistory[[#This Row],[SOX S]]+Dashboard!$C$15*tblHistory[[#This Row],[AIQ S]])/(Dashboard!$C$13+Dashboard!$C$14+Dashboard!$C$15)*100</f>
        <v/>
      </c>
      <c r="U30" s="46">
        <f>(Dashboard!$C$16*tblHistory[[#This Row],[DTCR S]]+Dashboard!$C$17*tblHistory[[#This Row],[BBB S]]+Dashboard!$C$18*tblHistory[[#This Row],[CCC S]])/(Dashboard!$C$16+Dashboard!$C$17+Dashboard!$C$18)*100</f>
        <v/>
      </c>
      <c r="V30" s="46">
        <f>(Dashboard!$C$19*tblHistory[[#This Row],[BIZD S]]+Dashboard!$C$20*tblHistory[[#This Row],[BKLN S]]+Dashboard!$C$21*tblHistory[[#This Row],[HY S]])/(Dashboard!$C$19+Dashboard!$C$20+Dashboard!$C$21)*100</f>
        <v/>
      </c>
      <c r="W3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" s="46">
        <f>IFERROR(--(tblHistory[[#This Row],[Score]]&gt;=50),0)</f>
        <v/>
      </c>
      <c r="Y30" s="46">
        <f>IFERROR(--AND(tblHistory[[#This Row],[Score]]&gt;=60,OR(AND(tblHistory[[#This Row],[BIZD S]]&gt;=0.8,tblHistory[[#This Row],[BKLN S]]&gt;=0.5),tblHistory[[#This Row],[CCC S]]&gt;=0.8)),0)</f>
        <v/>
      </c>
      <c r="Z30" s="46">
        <f>IFERROR(--AND(tblHistory[[#This Row],[Score]]&gt;=70,tblHistory[[#This Row],[SOX S]]&gt;=0.83,tblHistory[[#This Row],[AIQ S]]&gt;=0.8),0)</f>
        <v/>
      </c>
      <c r="AA3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">
      <c r="A31" s="42" t="n">
        <v>46283</v>
      </c>
      <c r="B31" s="43" t="n">
        <v>29644.1699</v>
      </c>
      <c r="C31" s="43" t="n">
        <v>11921.6904</v>
      </c>
      <c r="D31" s="43" t="n">
        <v>64.13</v>
      </c>
      <c r="E31" s="43" t="n">
        <v>28.04</v>
      </c>
      <c r="F31" s="44" t="n">
        <v>94</v>
      </c>
      <c r="G31" s="44" t="n">
        <v>1083</v>
      </c>
      <c r="H31" s="43" t="n">
        <v>12.6366</v>
      </c>
      <c r="I31" s="43" t="n">
        <v>20.4284</v>
      </c>
      <c r="J31" s="44" t="n">
        <v>268</v>
      </c>
      <c r="K3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" s="46">
        <f>(Dashboard!$C$13*tblHistory[[#This Row],[NDX S]]+Dashboard!$C$14*tblHistory[[#This Row],[SOX S]]+Dashboard!$C$15*tblHistory[[#This Row],[AIQ S]])/(Dashboard!$C$13+Dashboard!$C$14+Dashboard!$C$15)*100</f>
        <v/>
      </c>
      <c r="U31" s="46">
        <f>(Dashboard!$C$16*tblHistory[[#This Row],[DTCR S]]+Dashboard!$C$17*tblHistory[[#This Row],[BBB S]]+Dashboard!$C$18*tblHistory[[#This Row],[CCC S]])/(Dashboard!$C$16+Dashboard!$C$17+Dashboard!$C$18)*100</f>
        <v/>
      </c>
      <c r="V31" s="46">
        <f>(Dashboard!$C$19*tblHistory[[#This Row],[BIZD S]]+Dashboard!$C$20*tblHistory[[#This Row],[BKLN S]]+Dashboard!$C$21*tblHistory[[#This Row],[HY S]])/(Dashboard!$C$19+Dashboard!$C$20+Dashboard!$C$21)*100</f>
        <v/>
      </c>
      <c r="W3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" s="46">
        <f>IFERROR(--(tblHistory[[#This Row],[Score]]&gt;=50),0)</f>
        <v/>
      </c>
      <c r="Y31" s="46">
        <f>IFERROR(--AND(tblHistory[[#This Row],[Score]]&gt;=60,OR(AND(tblHistory[[#This Row],[BIZD S]]&gt;=0.8,tblHistory[[#This Row],[BKLN S]]&gt;=0.5),tblHistory[[#This Row],[CCC S]]&gt;=0.8)),0)</f>
        <v/>
      </c>
      <c r="Z31" s="46">
        <f>IFERROR(--AND(tblHistory[[#This Row],[Score]]&gt;=70,tblHistory[[#This Row],[SOX S]]&gt;=0.83,tblHistory[[#This Row],[AIQ S]]&gt;=0.8),0)</f>
        <v/>
      </c>
      <c r="AA3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">
      <c r="A32" s="42" t="n">
        <v>46282</v>
      </c>
      <c r="B32" s="43" t="n">
        <v>29446.9805</v>
      </c>
      <c r="C32" s="43" t="n">
        <v>11599.4902</v>
      </c>
      <c r="D32" s="43" t="n">
        <v>64.37</v>
      </c>
      <c r="E32" s="43" t="n">
        <v>27.88</v>
      </c>
      <c r="F32" s="44" t="n">
        <v>95</v>
      </c>
      <c r="G32" s="44" t="n">
        <v>1076</v>
      </c>
      <c r="H32" s="43" t="n">
        <v>12.8588</v>
      </c>
      <c r="I32" s="43" t="n">
        <v>20.4482</v>
      </c>
      <c r="J32" s="44" t="n">
        <v>270</v>
      </c>
      <c r="K3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" s="46">
        <f>(Dashboard!$C$13*tblHistory[[#This Row],[NDX S]]+Dashboard!$C$14*tblHistory[[#This Row],[SOX S]]+Dashboard!$C$15*tblHistory[[#This Row],[AIQ S]])/(Dashboard!$C$13+Dashboard!$C$14+Dashboard!$C$15)*100</f>
        <v/>
      </c>
      <c r="U32" s="46">
        <f>(Dashboard!$C$16*tblHistory[[#This Row],[DTCR S]]+Dashboard!$C$17*tblHistory[[#This Row],[BBB S]]+Dashboard!$C$18*tblHistory[[#This Row],[CCC S]])/(Dashboard!$C$16+Dashboard!$C$17+Dashboard!$C$18)*100</f>
        <v/>
      </c>
      <c r="V32" s="46">
        <f>(Dashboard!$C$19*tblHistory[[#This Row],[BIZD S]]+Dashboard!$C$20*tblHistory[[#This Row],[BKLN S]]+Dashboard!$C$21*tblHistory[[#This Row],[HY S]])/(Dashboard!$C$19+Dashboard!$C$20+Dashboard!$C$21)*100</f>
        <v/>
      </c>
      <c r="W3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" s="46">
        <f>IFERROR(--(tblHistory[[#This Row],[Score]]&gt;=50),0)</f>
        <v/>
      </c>
      <c r="Y32" s="46">
        <f>IFERROR(--AND(tblHistory[[#This Row],[Score]]&gt;=60,OR(AND(tblHistory[[#This Row],[BIZD S]]&gt;=0.8,tblHistory[[#This Row],[BKLN S]]&gt;=0.5),tblHistory[[#This Row],[CCC S]]&gt;=0.8)),0)</f>
        <v/>
      </c>
      <c r="Z32" s="46">
        <f>IFERROR(--AND(tblHistory[[#This Row],[Score]]&gt;=70,tblHistory[[#This Row],[SOX S]]&gt;=0.83,tblHistory[[#This Row],[AIQ S]]&gt;=0.8),0)</f>
        <v/>
      </c>
      <c r="AA3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">
      <c r="A33" s="42" t="n">
        <v>46281</v>
      </c>
      <c r="B33" s="43" t="n">
        <v>28945.0605</v>
      </c>
      <c r="C33" s="43" t="n">
        <v>11246.1104</v>
      </c>
      <c r="D33" s="43" t="n">
        <v>63.01</v>
      </c>
      <c r="E33" s="43" t="n">
        <v>27.28</v>
      </c>
      <c r="F33" s="44" t="n">
        <v>96</v>
      </c>
      <c r="G33" s="44" t="n">
        <v>1076</v>
      </c>
      <c r="H33" s="43" t="n">
        <v>12.6559</v>
      </c>
      <c r="I33" s="43" t="n">
        <v>20.3987</v>
      </c>
      <c r="J33" s="44" t="n">
        <v>270</v>
      </c>
      <c r="K3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" s="46">
        <f>(Dashboard!$C$13*tblHistory[[#This Row],[NDX S]]+Dashboard!$C$14*tblHistory[[#This Row],[SOX S]]+Dashboard!$C$15*tblHistory[[#This Row],[AIQ S]])/(Dashboard!$C$13+Dashboard!$C$14+Dashboard!$C$15)*100</f>
        <v/>
      </c>
      <c r="U33" s="46">
        <f>(Dashboard!$C$16*tblHistory[[#This Row],[DTCR S]]+Dashboard!$C$17*tblHistory[[#This Row],[BBB S]]+Dashboard!$C$18*tblHistory[[#This Row],[CCC S]])/(Dashboard!$C$16+Dashboard!$C$17+Dashboard!$C$18)*100</f>
        <v/>
      </c>
      <c r="V33" s="46">
        <f>(Dashboard!$C$19*tblHistory[[#This Row],[BIZD S]]+Dashboard!$C$20*tblHistory[[#This Row],[BKLN S]]+Dashboard!$C$21*tblHistory[[#This Row],[HY S]])/(Dashboard!$C$19+Dashboard!$C$20+Dashboard!$C$21)*100</f>
        <v/>
      </c>
      <c r="W3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" s="46">
        <f>IFERROR(--(tblHistory[[#This Row],[Score]]&gt;=50),0)</f>
        <v/>
      </c>
      <c r="Y33" s="46">
        <f>IFERROR(--AND(tblHistory[[#This Row],[Score]]&gt;=60,OR(AND(tblHistory[[#This Row],[BIZD S]]&gt;=0.8,tblHistory[[#This Row],[BKLN S]]&gt;=0.5),tblHistory[[#This Row],[CCC S]]&gt;=0.8)),0)</f>
        <v/>
      </c>
      <c r="Z33" s="46">
        <f>IFERROR(--AND(tblHistory[[#This Row],[Score]]&gt;=70,tblHistory[[#This Row],[SOX S]]&gt;=0.83,tblHistory[[#This Row],[AIQ S]]&gt;=0.8),0)</f>
        <v/>
      </c>
      <c r="AA3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">
      <c r="A34" s="42" t="n">
        <v>46280</v>
      </c>
      <c r="B34" s="43" t="n">
        <v>28937.8398</v>
      </c>
      <c r="C34" s="43" t="n">
        <v>11175.5498</v>
      </c>
      <c r="D34" s="43" t="n">
        <v>62.96</v>
      </c>
      <c r="E34" s="43" t="n">
        <v>27.14</v>
      </c>
      <c r="F34" s="44" t="n">
        <v>98</v>
      </c>
      <c r="G34" s="44" t="n">
        <v>1085</v>
      </c>
      <c r="H34" s="43" t="n">
        <v>12.6269</v>
      </c>
      <c r="I34" s="43" t="n">
        <v>20.4185</v>
      </c>
      <c r="J34" s="44" t="n">
        <v>276</v>
      </c>
      <c r="K3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" s="46">
        <f>(Dashboard!$C$13*tblHistory[[#This Row],[NDX S]]+Dashboard!$C$14*tblHistory[[#This Row],[SOX S]]+Dashboard!$C$15*tblHistory[[#This Row],[AIQ S]])/(Dashboard!$C$13+Dashboard!$C$14+Dashboard!$C$15)*100</f>
        <v/>
      </c>
      <c r="U34" s="46">
        <f>(Dashboard!$C$16*tblHistory[[#This Row],[DTCR S]]+Dashboard!$C$17*tblHistory[[#This Row],[BBB S]]+Dashboard!$C$18*tblHistory[[#This Row],[CCC S]])/(Dashboard!$C$16+Dashboard!$C$17+Dashboard!$C$18)*100</f>
        <v/>
      </c>
      <c r="V34" s="46">
        <f>(Dashboard!$C$19*tblHistory[[#This Row],[BIZD S]]+Dashboard!$C$20*tblHistory[[#This Row],[BKLN S]]+Dashboard!$C$21*tblHistory[[#This Row],[HY S]])/(Dashboard!$C$19+Dashboard!$C$20+Dashboard!$C$21)*100</f>
        <v/>
      </c>
      <c r="W3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" s="46">
        <f>IFERROR(--(tblHistory[[#This Row],[Score]]&gt;=50),0)</f>
        <v/>
      </c>
      <c r="Y34" s="46">
        <f>IFERROR(--AND(tblHistory[[#This Row],[Score]]&gt;=60,OR(AND(tblHistory[[#This Row],[BIZD S]]&gt;=0.8,tblHistory[[#This Row],[BKLN S]]&gt;=0.5),tblHistory[[#This Row],[CCC S]]&gt;=0.8)),0)</f>
        <v/>
      </c>
      <c r="Z34" s="46">
        <f>IFERROR(--AND(tblHistory[[#This Row],[Score]]&gt;=70,tblHistory[[#This Row],[SOX S]]&gt;=0.83,tblHistory[[#This Row],[AIQ S]]&gt;=0.8),0)</f>
        <v/>
      </c>
      <c r="AA3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">
      <c r="A35" s="42" t="n">
        <v>46279</v>
      </c>
      <c r="B35" s="43" t="n">
        <v>29127.1602</v>
      </c>
      <c r="C35" s="43" t="n">
        <v>11131.2803</v>
      </c>
      <c r="D35" s="43" t="n">
        <v>63.47</v>
      </c>
      <c r="E35" s="43" t="n">
        <v>27.22</v>
      </c>
      <c r="F35" s="44" t="n">
        <v>98</v>
      </c>
      <c r="G35" s="44" t="n">
        <v>1081</v>
      </c>
      <c r="H35" s="43" t="n">
        <v>12.6366</v>
      </c>
      <c r="I35" s="43" t="n">
        <v>20.379</v>
      </c>
      <c r="J35" s="44" t="n">
        <v>271</v>
      </c>
      <c r="K3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" s="46">
        <f>(Dashboard!$C$13*tblHistory[[#This Row],[NDX S]]+Dashboard!$C$14*tblHistory[[#This Row],[SOX S]]+Dashboard!$C$15*tblHistory[[#This Row],[AIQ S]])/(Dashboard!$C$13+Dashboard!$C$14+Dashboard!$C$15)*100</f>
        <v/>
      </c>
      <c r="U35" s="46">
        <f>(Dashboard!$C$16*tblHistory[[#This Row],[DTCR S]]+Dashboard!$C$17*tblHistory[[#This Row],[BBB S]]+Dashboard!$C$18*tblHistory[[#This Row],[CCC S]])/(Dashboard!$C$16+Dashboard!$C$17+Dashboard!$C$18)*100</f>
        <v/>
      </c>
      <c r="V35" s="46">
        <f>(Dashboard!$C$19*tblHistory[[#This Row],[BIZD S]]+Dashboard!$C$20*tblHistory[[#This Row],[BKLN S]]+Dashboard!$C$21*tblHistory[[#This Row],[HY S]])/(Dashboard!$C$19+Dashboard!$C$20+Dashboard!$C$21)*100</f>
        <v/>
      </c>
      <c r="W3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" s="46">
        <f>IFERROR(--(tblHistory[[#This Row],[Score]]&gt;=50),0)</f>
        <v/>
      </c>
      <c r="Y35" s="46">
        <f>IFERROR(--AND(tblHistory[[#This Row],[Score]]&gt;=60,OR(AND(tblHistory[[#This Row],[BIZD S]]&gt;=0.8,tblHistory[[#This Row],[BKLN S]]&gt;=0.5),tblHistory[[#This Row],[CCC S]]&gt;=0.8)),0)</f>
        <v/>
      </c>
      <c r="Z35" s="46">
        <f>IFERROR(--AND(tblHistory[[#This Row],[Score]]&gt;=70,tblHistory[[#This Row],[SOX S]]&gt;=0.83,tblHistory[[#This Row],[AIQ S]]&gt;=0.8),0)</f>
        <v/>
      </c>
      <c r="AA3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">
      <c r="A36" s="42" t="n">
        <v>46276</v>
      </c>
      <c r="B36" s="43" t="n">
        <v>29368.4395</v>
      </c>
      <c r="C36" s="43" t="n">
        <v>11824</v>
      </c>
      <c r="D36" s="43" t="n">
        <v>63.98</v>
      </c>
      <c r="E36" s="43" t="n">
        <v>28.26</v>
      </c>
      <c r="F36" s="44" t="n">
        <v>97</v>
      </c>
      <c r="G36" s="44" t="n">
        <v>1076</v>
      </c>
      <c r="H36" s="43" t="n">
        <v>12.6076</v>
      </c>
      <c r="I36" s="43" t="n">
        <v>20.3592</v>
      </c>
      <c r="J36" s="44" t="n">
        <v>265</v>
      </c>
      <c r="K3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" s="46">
        <f>(Dashboard!$C$13*tblHistory[[#This Row],[NDX S]]+Dashboard!$C$14*tblHistory[[#This Row],[SOX S]]+Dashboard!$C$15*tblHistory[[#This Row],[AIQ S]])/(Dashboard!$C$13+Dashboard!$C$14+Dashboard!$C$15)*100</f>
        <v/>
      </c>
      <c r="U36" s="46">
        <f>(Dashboard!$C$16*tblHistory[[#This Row],[DTCR S]]+Dashboard!$C$17*tblHistory[[#This Row],[BBB S]]+Dashboard!$C$18*tblHistory[[#This Row],[CCC S]])/(Dashboard!$C$16+Dashboard!$C$17+Dashboard!$C$18)*100</f>
        <v/>
      </c>
      <c r="V36" s="46">
        <f>(Dashboard!$C$19*tblHistory[[#This Row],[BIZD S]]+Dashboard!$C$20*tblHistory[[#This Row],[BKLN S]]+Dashboard!$C$21*tblHistory[[#This Row],[HY S]])/(Dashboard!$C$19+Dashboard!$C$20+Dashboard!$C$21)*100</f>
        <v/>
      </c>
      <c r="W3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" s="46">
        <f>IFERROR(--(tblHistory[[#This Row],[Score]]&gt;=50),0)</f>
        <v/>
      </c>
      <c r="Y36" s="46">
        <f>IFERROR(--AND(tblHistory[[#This Row],[Score]]&gt;=60,OR(AND(tblHistory[[#This Row],[BIZD S]]&gt;=0.8,tblHistory[[#This Row],[BKLN S]]&gt;=0.5),tblHistory[[#This Row],[CCC S]]&gt;=0.8)),0)</f>
        <v/>
      </c>
      <c r="Z36" s="46">
        <f>IFERROR(--AND(tblHistory[[#This Row],[Score]]&gt;=70,tblHistory[[#This Row],[SOX S]]&gt;=0.83,tblHistory[[#This Row],[AIQ S]]&gt;=0.8),0)</f>
        <v/>
      </c>
      <c r="AA3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">
      <c r="A37" s="42" t="n">
        <v>46275</v>
      </c>
      <c r="B37" s="43" t="n">
        <v>29103.5098</v>
      </c>
      <c r="C37" s="43" t="n">
        <v>11614.1699</v>
      </c>
      <c r="D37" s="43" t="n">
        <v>63.08</v>
      </c>
      <c r="E37" s="43" t="n">
        <v>27.71</v>
      </c>
      <c r="F37" s="44" t="n">
        <v>98</v>
      </c>
      <c r="G37" s="44" t="n">
        <v>1070</v>
      </c>
      <c r="H37" s="43" t="n">
        <v>12.5399</v>
      </c>
      <c r="I37" s="43" t="n">
        <v>20.3592</v>
      </c>
      <c r="J37" s="44" t="n">
        <v>270</v>
      </c>
      <c r="K3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" s="46">
        <f>(Dashboard!$C$13*tblHistory[[#This Row],[NDX S]]+Dashboard!$C$14*tblHistory[[#This Row],[SOX S]]+Dashboard!$C$15*tblHistory[[#This Row],[AIQ S]])/(Dashboard!$C$13+Dashboard!$C$14+Dashboard!$C$15)*100</f>
        <v/>
      </c>
      <c r="U37" s="46">
        <f>(Dashboard!$C$16*tblHistory[[#This Row],[DTCR S]]+Dashboard!$C$17*tblHistory[[#This Row],[BBB S]]+Dashboard!$C$18*tblHistory[[#This Row],[CCC S]])/(Dashboard!$C$16+Dashboard!$C$17+Dashboard!$C$18)*100</f>
        <v/>
      </c>
      <c r="V37" s="46">
        <f>(Dashboard!$C$19*tblHistory[[#This Row],[BIZD S]]+Dashboard!$C$20*tblHistory[[#This Row],[BKLN S]]+Dashboard!$C$21*tblHistory[[#This Row],[HY S]])/(Dashboard!$C$19+Dashboard!$C$20+Dashboard!$C$21)*100</f>
        <v/>
      </c>
      <c r="W3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" s="46">
        <f>IFERROR(--(tblHistory[[#This Row],[Score]]&gt;=50),0)</f>
        <v/>
      </c>
      <c r="Y37" s="46">
        <f>IFERROR(--AND(tblHistory[[#This Row],[Score]]&gt;=60,OR(AND(tblHistory[[#This Row],[BIZD S]]&gt;=0.8,tblHistory[[#This Row],[BKLN S]]&gt;=0.5),tblHistory[[#This Row],[CCC S]]&gt;=0.8)),0)</f>
        <v/>
      </c>
      <c r="Z37" s="46">
        <f>IFERROR(--AND(tblHistory[[#This Row],[Score]]&gt;=70,tblHistory[[#This Row],[SOX S]]&gt;=0.83,tblHistory[[#This Row],[AIQ S]]&gt;=0.8),0)</f>
        <v/>
      </c>
      <c r="AA3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">
      <c r="A38" s="42" t="n">
        <v>46274</v>
      </c>
      <c r="B38" s="43" t="n">
        <v>29421.5508</v>
      </c>
      <c r="C38" s="43" t="n">
        <v>11931.3203</v>
      </c>
      <c r="D38" s="43" t="n">
        <v>64.11</v>
      </c>
      <c r="E38" s="43" t="n">
        <v>28.43</v>
      </c>
      <c r="F38" s="44" t="n">
        <v>99</v>
      </c>
      <c r="G38" s="44" t="n">
        <v>1064</v>
      </c>
      <c r="H38" s="43" t="n">
        <v>12.6172</v>
      </c>
      <c r="I38" s="43" t="n">
        <v>20.3592</v>
      </c>
      <c r="J38" s="44" t="n">
        <v>271</v>
      </c>
      <c r="K3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" s="46">
        <f>(Dashboard!$C$13*tblHistory[[#This Row],[NDX S]]+Dashboard!$C$14*tblHistory[[#This Row],[SOX S]]+Dashboard!$C$15*tblHistory[[#This Row],[AIQ S]])/(Dashboard!$C$13+Dashboard!$C$14+Dashboard!$C$15)*100</f>
        <v/>
      </c>
      <c r="U38" s="46">
        <f>(Dashboard!$C$16*tblHistory[[#This Row],[DTCR S]]+Dashboard!$C$17*tblHistory[[#This Row],[BBB S]]+Dashboard!$C$18*tblHistory[[#This Row],[CCC S]])/(Dashboard!$C$16+Dashboard!$C$17+Dashboard!$C$18)*100</f>
        <v/>
      </c>
      <c r="V38" s="46">
        <f>(Dashboard!$C$19*tblHistory[[#This Row],[BIZD S]]+Dashboard!$C$20*tblHistory[[#This Row],[BKLN S]]+Dashboard!$C$21*tblHistory[[#This Row],[HY S]])/(Dashboard!$C$19+Dashboard!$C$20+Dashboard!$C$21)*100</f>
        <v/>
      </c>
      <c r="W3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" s="46">
        <f>IFERROR(--(tblHistory[[#This Row],[Score]]&gt;=50),0)</f>
        <v/>
      </c>
      <c r="Y38" s="46">
        <f>IFERROR(--AND(tblHistory[[#This Row],[Score]]&gt;=60,OR(AND(tblHistory[[#This Row],[BIZD S]]&gt;=0.8,tblHistory[[#This Row],[BKLN S]]&gt;=0.5),tblHistory[[#This Row],[CCC S]]&gt;=0.8)),0)</f>
        <v/>
      </c>
      <c r="Z38" s="46">
        <f>IFERROR(--AND(tblHistory[[#This Row],[Score]]&gt;=70,tblHistory[[#This Row],[SOX S]]&gt;=0.83,tblHistory[[#This Row],[AIQ S]]&gt;=0.8),0)</f>
        <v/>
      </c>
      <c r="AA3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">
      <c r="A39" s="42" t="n">
        <v>46273</v>
      </c>
      <c r="B39" s="43" t="n">
        <v>29507.6992</v>
      </c>
      <c r="C39" s="43" t="n">
        <v>11887.8701</v>
      </c>
      <c r="D39" s="43" t="n">
        <v>64.31999999999999</v>
      </c>
      <c r="E39" s="43" t="n">
        <v>28.53</v>
      </c>
      <c r="F39" s="44" t="n">
        <v>99</v>
      </c>
      <c r="G39" s="44" t="n">
        <v>1056</v>
      </c>
      <c r="H39" s="43" t="n">
        <v>12.6945</v>
      </c>
      <c r="I39" s="43" t="n">
        <v>20.3691</v>
      </c>
      <c r="J39" s="44" t="n">
        <v>267</v>
      </c>
      <c r="K3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" s="46">
        <f>(Dashboard!$C$13*tblHistory[[#This Row],[NDX S]]+Dashboard!$C$14*tblHistory[[#This Row],[SOX S]]+Dashboard!$C$15*tblHistory[[#This Row],[AIQ S]])/(Dashboard!$C$13+Dashboard!$C$14+Dashboard!$C$15)*100</f>
        <v/>
      </c>
      <c r="U39" s="46">
        <f>(Dashboard!$C$16*tblHistory[[#This Row],[DTCR S]]+Dashboard!$C$17*tblHistory[[#This Row],[BBB S]]+Dashboard!$C$18*tblHistory[[#This Row],[CCC S]])/(Dashboard!$C$16+Dashboard!$C$17+Dashboard!$C$18)*100</f>
        <v/>
      </c>
      <c r="V39" s="46">
        <f>(Dashboard!$C$19*tblHistory[[#This Row],[BIZD S]]+Dashboard!$C$20*tblHistory[[#This Row],[BKLN S]]+Dashboard!$C$21*tblHistory[[#This Row],[HY S]])/(Dashboard!$C$19+Dashboard!$C$20+Dashboard!$C$21)*100</f>
        <v/>
      </c>
      <c r="W3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" s="46">
        <f>IFERROR(--(tblHistory[[#This Row],[Score]]&gt;=50),0)</f>
        <v/>
      </c>
      <c r="Y39" s="46">
        <f>IFERROR(--AND(tblHistory[[#This Row],[Score]]&gt;=60,OR(AND(tblHistory[[#This Row],[BIZD S]]&gt;=0.8,tblHistory[[#This Row],[BKLN S]]&gt;=0.5),tblHistory[[#This Row],[CCC S]]&gt;=0.8)),0)</f>
        <v/>
      </c>
      <c r="Z39" s="46">
        <f>IFERROR(--AND(tblHistory[[#This Row],[Score]]&gt;=70,tblHistory[[#This Row],[SOX S]]&gt;=0.83,tblHistory[[#This Row],[AIQ S]]&gt;=0.8),0)</f>
        <v/>
      </c>
      <c r="AA3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">
      <c r="A40" s="42" t="n">
        <v>46269</v>
      </c>
      <c r="B40" s="43" t="n">
        <v>29544.1504</v>
      </c>
      <c r="C40" s="43" t="n">
        <v>11735.2598</v>
      </c>
      <c r="D40" s="43" t="n">
        <v>64.31999999999999</v>
      </c>
      <c r="E40" s="43" t="n">
        <v>28.18</v>
      </c>
      <c r="F40" s="44" t="n">
        <v>99</v>
      </c>
      <c r="G40" s="44" t="n">
        <v>1054</v>
      </c>
      <c r="H40" s="43" t="n">
        <v>12.8781</v>
      </c>
      <c r="I40" s="43" t="n">
        <v>20.379</v>
      </c>
      <c r="J40" s="44" t="n">
        <v>268</v>
      </c>
      <c r="K4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" s="46">
        <f>(Dashboard!$C$13*tblHistory[[#This Row],[NDX S]]+Dashboard!$C$14*tblHistory[[#This Row],[SOX S]]+Dashboard!$C$15*tblHistory[[#This Row],[AIQ S]])/(Dashboard!$C$13+Dashboard!$C$14+Dashboard!$C$15)*100</f>
        <v/>
      </c>
      <c r="U40" s="46">
        <f>(Dashboard!$C$16*tblHistory[[#This Row],[DTCR S]]+Dashboard!$C$17*tblHistory[[#This Row],[BBB S]]+Dashboard!$C$18*tblHistory[[#This Row],[CCC S]])/(Dashboard!$C$16+Dashboard!$C$17+Dashboard!$C$18)*100</f>
        <v/>
      </c>
      <c r="V40" s="46">
        <f>(Dashboard!$C$19*tblHistory[[#This Row],[BIZD S]]+Dashboard!$C$20*tblHistory[[#This Row],[BKLN S]]+Dashboard!$C$21*tblHistory[[#This Row],[HY S]])/(Dashboard!$C$19+Dashboard!$C$20+Dashboard!$C$21)*100</f>
        <v/>
      </c>
      <c r="W4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" s="46">
        <f>IFERROR(--(tblHistory[[#This Row],[Score]]&gt;=50),0)</f>
        <v/>
      </c>
      <c r="Y40" s="46">
        <f>IFERROR(--AND(tblHistory[[#This Row],[Score]]&gt;=60,OR(AND(tblHistory[[#This Row],[BIZD S]]&gt;=0.8,tblHistory[[#This Row],[BKLN S]]&gt;=0.5),tblHistory[[#This Row],[CCC S]]&gt;=0.8)),0)</f>
        <v/>
      </c>
      <c r="Z40" s="46">
        <f>IFERROR(--AND(tblHistory[[#This Row],[Score]]&gt;=70,tblHistory[[#This Row],[SOX S]]&gt;=0.83,tblHistory[[#This Row],[AIQ S]]&gt;=0.8),0)</f>
        <v/>
      </c>
      <c r="AA4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">
      <c r="A41" s="42" t="n">
        <v>46268</v>
      </c>
      <c r="B41" s="43" t="n">
        <v>29482.3203</v>
      </c>
      <c r="C41" s="43" t="n">
        <v>11352.1299</v>
      </c>
      <c r="D41" s="43" t="n">
        <v>64.3</v>
      </c>
      <c r="E41" s="43" t="n">
        <v>27.94</v>
      </c>
      <c r="F41" s="44" t="n">
        <v>100</v>
      </c>
      <c r="G41" s="44" t="n">
        <v>1051</v>
      </c>
      <c r="H41" s="43" t="n">
        <v>12.8974</v>
      </c>
      <c r="I41" s="43" t="n">
        <v>20.3592</v>
      </c>
      <c r="J41" s="44" t="n">
        <v>265</v>
      </c>
      <c r="K4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" s="46">
        <f>(Dashboard!$C$13*tblHistory[[#This Row],[NDX S]]+Dashboard!$C$14*tblHistory[[#This Row],[SOX S]]+Dashboard!$C$15*tblHistory[[#This Row],[AIQ S]])/(Dashboard!$C$13+Dashboard!$C$14+Dashboard!$C$15)*100</f>
        <v/>
      </c>
      <c r="U41" s="46">
        <f>(Dashboard!$C$16*tblHistory[[#This Row],[DTCR S]]+Dashboard!$C$17*tblHistory[[#This Row],[BBB S]]+Dashboard!$C$18*tblHistory[[#This Row],[CCC S]])/(Dashboard!$C$16+Dashboard!$C$17+Dashboard!$C$18)*100</f>
        <v/>
      </c>
      <c r="V41" s="46">
        <f>(Dashboard!$C$19*tblHistory[[#This Row],[BIZD S]]+Dashboard!$C$20*tblHistory[[#This Row],[BKLN S]]+Dashboard!$C$21*tblHistory[[#This Row],[HY S]])/(Dashboard!$C$19+Dashboard!$C$20+Dashboard!$C$21)*100</f>
        <v/>
      </c>
      <c r="W4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" s="46">
        <f>IFERROR(--(tblHistory[[#This Row],[Score]]&gt;=50),0)</f>
        <v/>
      </c>
      <c r="Y41" s="46">
        <f>IFERROR(--AND(tblHistory[[#This Row],[Score]]&gt;=60,OR(AND(tblHistory[[#This Row],[BIZD S]]&gt;=0.8,tblHistory[[#This Row],[BKLN S]]&gt;=0.5),tblHistory[[#This Row],[CCC S]]&gt;=0.8)),0)</f>
        <v/>
      </c>
      <c r="Z41" s="46">
        <f>IFERROR(--AND(tblHistory[[#This Row],[Score]]&gt;=70,tblHistory[[#This Row],[SOX S]]&gt;=0.83,tblHistory[[#This Row],[AIQ S]]&gt;=0.8),0)</f>
        <v/>
      </c>
      <c r="AA4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">
      <c r="A42" s="42" t="n">
        <v>46267</v>
      </c>
      <c r="B42" s="43" t="n">
        <v>29143.3301</v>
      </c>
      <c r="C42" s="43" t="n">
        <v>11339.25</v>
      </c>
      <c r="D42" s="43" t="n">
        <v>63.08</v>
      </c>
      <c r="E42" s="43" t="n">
        <v>27.44</v>
      </c>
      <c r="F42" s="44" t="n">
        <v>99</v>
      </c>
      <c r="G42" s="44" t="n">
        <v>1053</v>
      </c>
      <c r="H42" s="43" t="n">
        <v>12.8877</v>
      </c>
      <c r="I42" s="43" t="n">
        <v>20.3295</v>
      </c>
      <c r="J42" s="44" t="n">
        <v>266</v>
      </c>
      <c r="K4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" s="46">
        <f>(Dashboard!$C$13*tblHistory[[#This Row],[NDX S]]+Dashboard!$C$14*tblHistory[[#This Row],[SOX S]]+Dashboard!$C$15*tblHistory[[#This Row],[AIQ S]])/(Dashboard!$C$13+Dashboard!$C$14+Dashboard!$C$15)*100</f>
        <v/>
      </c>
      <c r="U42" s="46">
        <f>(Dashboard!$C$16*tblHistory[[#This Row],[DTCR S]]+Dashboard!$C$17*tblHistory[[#This Row],[BBB S]]+Dashboard!$C$18*tblHistory[[#This Row],[CCC S]])/(Dashboard!$C$16+Dashboard!$C$17+Dashboard!$C$18)*100</f>
        <v/>
      </c>
      <c r="V42" s="46">
        <f>(Dashboard!$C$19*tblHistory[[#This Row],[BIZD S]]+Dashboard!$C$20*tblHistory[[#This Row],[BKLN S]]+Dashboard!$C$21*tblHistory[[#This Row],[HY S]])/(Dashboard!$C$19+Dashboard!$C$20+Dashboard!$C$21)*100</f>
        <v/>
      </c>
      <c r="W4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" s="46">
        <f>IFERROR(--(tblHistory[[#This Row],[Score]]&gt;=50),0)</f>
        <v/>
      </c>
      <c r="Y42" s="46">
        <f>IFERROR(--AND(tblHistory[[#This Row],[Score]]&gt;=60,OR(AND(tblHistory[[#This Row],[BIZD S]]&gt;=0.8,tblHistory[[#This Row],[BKLN S]]&gt;=0.5),tblHistory[[#This Row],[CCC S]]&gt;=0.8)),0)</f>
        <v/>
      </c>
      <c r="Z42" s="46">
        <f>IFERROR(--AND(tblHistory[[#This Row],[Score]]&gt;=70,tblHistory[[#This Row],[SOX S]]&gt;=0.83,tblHistory[[#This Row],[AIQ S]]&gt;=0.8),0)</f>
        <v/>
      </c>
      <c r="AA4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">
      <c r="A43" s="42" t="n">
        <v>46266</v>
      </c>
      <c r="B43" s="43" t="n">
        <v>29077.2207</v>
      </c>
      <c r="C43" s="43" t="n">
        <v>11288.6104</v>
      </c>
      <c r="D43" s="43" t="n">
        <v>63.06</v>
      </c>
      <c r="E43" s="43" t="n">
        <v>27.49</v>
      </c>
      <c r="F43" s="44" t="n">
        <v>99</v>
      </c>
      <c r="G43" s="44" t="n">
        <v>1049</v>
      </c>
      <c r="H43" s="43" t="n">
        <v>12.8974</v>
      </c>
      <c r="I43" s="43" t="n">
        <v>20.3196</v>
      </c>
      <c r="J43" s="44" t="n">
        <v>265</v>
      </c>
      <c r="K4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" s="46">
        <f>(Dashboard!$C$13*tblHistory[[#This Row],[NDX S]]+Dashboard!$C$14*tblHistory[[#This Row],[SOX S]]+Dashboard!$C$15*tblHistory[[#This Row],[AIQ S]])/(Dashboard!$C$13+Dashboard!$C$14+Dashboard!$C$15)*100</f>
        <v/>
      </c>
      <c r="U43" s="46">
        <f>(Dashboard!$C$16*tblHistory[[#This Row],[DTCR S]]+Dashboard!$C$17*tblHistory[[#This Row],[BBB S]]+Dashboard!$C$18*tblHistory[[#This Row],[CCC S]])/(Dashboard!$C$16+Dashboard!$C$17+Dashboard!$C$18)*100</f>
        <v/>
      </c>
      <c r="V43" s="46">
        <f>(Dashboard!$C$19*tblHistory[[#This Row],[BIZD S]]+Dashboard!$C$20*tblHistory[[#This Row],[BKLN S]]+Dashboard!$C$21*tblHistory[[#This Row],[HY S]])/(Dashboard!$C$19+Dashboard!$C$20+Dashboard!$C$21)*100</f>
        <v/>
      </c>
      <c r="W4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" s="46">
        <f>IFERROR(--(tblHistory[[#This Row],[Score]]&gt;=50),0)</f>
        <v/>
      </c>
      <c r="Y43" s="46">
        <f>IFERROR(--AND(tblHistory[[#This Row],[Score]]&gt;=60,OR(AND(tblHistory[[#This Row],[BIZD S]]&gt;=0.8,tblHistory[[#This Row],[BKLN S]]&gt;=0.5),tblHistory[[#This Row],[CCC S]]&gt;=0.8)),0)</f>
        <v/>
      </c>
      <c r="Z43" s="46">
        <f>IFERROR(--AND(tblHistory[[#This Row],[Score]]&gt;=70,tblHistory[[#This Row],[SOX S]]&gt;=0.83,tblHistory[[#This Row],[AIQ S]]&gt;=0.8),0)</f>
        <v/>
      </c>
      <c r="AA4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">
      <c r="A44" s="42" t="n">
        <v>46265</v>
      </c>
      <c r="B44" s="43" t="n">
        <v>29456.9707</v>
      </c>
      <c r="C44" s="43" t="n">
        <v>11535.0498</v>
      </c>
      <c r="D44" s="43" t="n">
        <v>64.3</v>
      </c>
      <c r="E44" s="43" t="n">
        <v>27.89</v>
      </c>
      <c r="F44" s="44" t="n">
        <v>98</v>
      </c>
      <c r="G44" s="44" t="n">
        <v>1042</v>
      </c>
      <c r="H44" s="43" t="n">
        <v>13.052</v>
      </c>
      <c r="I44" s="43" t="n">
        <v>20.3394</v>
      </c>
      <c r="J44" s="44" t="n">
        <v>263</v>
      </c>
      <c r="K4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" s="46">
        <f>(Dashboard!$C$13*tblHistory[[#This Row],[NDX S]]+Dashboard!$C$14*tblHistory[[#This Row],[SOX S]]+Dashboard!$C$15*tblHistory[[#This Row],[AIQ S]])/(Dashboard!$C$13+Dashboard!$C$14+Dashboard!$C$15)*100</f>
        <v/>
      </c>
      <c r="U44" s="46">
        <f>(Dashboard!$C$16*tblHistory[[#This Row],[DTCR S]]+Dashboard!$C$17*tblHistory[[#This Row],[BBB S]]+Dashboard!$C$18*tblHistory[[#This Row],[CCC S]])/(Dashboard!$C$16+Dashboard!$C$17+Dashboard!$C$18)*100</f>
        <v/>
      </c>
      <c r="V44" s="46">
        <f>(Dashboard!$C$19*tblHistory[[#This Row],[BIZD S]]+Dashboard!$C$20*tblHistory[[#This Row],[BKLN S]]+Dashboard!$C$21*tblHistory[[#This Row],[HY S]])/(Dashboard!$C$19+Dashboard!$C$20+Dashboard!$C$21)*100</f>
        <v/>
      </c>
      <c r="W4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" s="46">
        <f>IFERROR(--(tblHistory[[#This Row],[Score]]&gt;=50),0)</f>
        <v/>
      </c>
      <c r="Y44" s="46">
        <f>IFERROR(--AND(tblHistory[[#This Row],[Score]]&gt;=60,OR(AND(tblHistory[[#This Row],[BIZD S]]&gt;=0.8,tblHistory[[#This Row],[BKLN S]]&gt;=0.5),tblHistory[[#This Row],[CCC S]]&gt;=0.8)),0)</f>
        <v/>
      </c>
      <c r="Z44" s="46">
        <f>IFERROR(--AND(tblHistory[[#This Row],[Score]]&gt;=70,tblHistory[[#This Row],[SOX S]]&gt;=0.83,tblHistory[[#This Row],[AIQ S]]&gt;=0.8),0)</f>
        <v/>
      </c>
      <c r="AA4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">
      <c r="A45" s="42" t="n">
        <v>46262</v>
      </c>
      <c r="B45" s="43" t="n">
        <v>29433.4297</v>
      </c>
      <c r="C45" s="43" t="n">
        <v>11469.6602</v>
      </c>
      <c r="D45" s="43" t="n">
        <v>64.22</v>
      </c>
      <c r="E45" s="43" t="n">
        <v>28</v>
      </c>
      <c r="F45" s="44" t="n">
        <v>97</v>
      </c>
      <c r="G45" s="44" t="n">
        <v>1026</v>
      </c>
      <c r="H45" s="43" t="n">
        <v>12.9071</v>
      </c>
      <c r="I45" s="43" t="n">
        <v>20.29</v>
      </c>
      <c r="J45" s="44" t="n">
        <v>260</v>
      </c>
      <c r="K4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" s="46">
        <f>(Dashboard!$C$13*tblHistory[[#This Row],[NDX S]]+Dashboard!$C$14*tblHistory[[#This Row],[SOX S]]+Dashboard!$C$15*tblHistory[[#This Row],[AIQ S]])/(Dashboard!$C$13+Dashboard!$C$14+Dashboard!$C$15)*100</f>
        <v/>
      </c>
      <c r="U45" s="46">
        <f>(Dashboard!$C$16*tblHistory[[#This Row],[DTCR S]]+Dashboard!$C$17*tblHistory[[#This Row],[BBB S]]+Dashboard!$C$18*tblHistory[[#This Row],[CCC S]])/(Dashboard!$C$16+Dashboard!$C$17+Dashboard!$C$18)*100</f>
        <v/>
      </c>
      <c r="V45" s="46">
        <f>(Dashboard!$C$19*tblHistory[[#This Row],[BIZD S]]+Dashboard!$C$20*tblHistory[[#This Row],[BKLN S]]+Dashboard!$C$21*tblHistory[[#This Row],[HY S]])/(Dashboard!$C$19+Dashboard!$C$20+Dashboard!$C$21)*100</f>
        <v/>
      </c>
      <c r="W4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" s="46">
        <f>IFERROR(--(tblHistory[[#This Row],[Score]]&gt;=50),0)</f>
        <v/>
      </c>
      <c r="Y45" s="46">
        <f>IFERROR(--AND(tblHistory[[#This Row],[Score]]&gt;=60,OR(AND(tblHistory[[#This Row],[BIZD S]]&gt;=0.8,tblHistory[[#This Row],[BKLN S]]&gt;=0.5),tblHistory[[#This Row],[CCC S]]&gt;=0.8)),0)</f>
        <v/>
      </c>
      <c r="Z45" s="46">
        <f>IFERROR(--AND(tblHistory[[#This Row],[Score]]&gt;=70,tblHistory[[#This Row],[SOX S]]&gt;=0.83,tblHistory[[#This Row],[AIQ S]]&gt;=0.8),0)</f>
        <v/>
      </c>
      <c r="AA4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">
      <c r="A46" s="42" t="n">
        <v>46261</v>
      </c>
      <c r="B46" s="43" t="n">
        <v>29641.5605</v>
      </c>
      <c r="C46" s="43" t="n">
        <v>11882.1699</v>
      </c>
      <c r="D46" s="43" t="n">
        <v>64.54000000000001</v>
      </c>
      <c r="E46" s="43" t="n">
        <v>28.5</v>
      </c>
      <c r="F46" s="44" t="n">
        <v>98</v>
      </c>
      <c r="G46" s="44" t="n">
        <v>1031</v>
      </c>
      <c r="H46" s="43" t="n">
        <v>12.936</v>
      </c>
      <c r="I46" s="43" t="n">
        <v>20.2999</v>
      </c>
      <c r="J46" s="44" t="n">
        <v>263</v>
      </c>
      <c r="K4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" s="46">
        <f>(Dashboard!$C$13*tblHistory[[#This Row],[NDX S]]+Dashboard!$C$14*tblHistory[[#This Row],[SOX S]]+Dashboard!$C$15*tblHistory[[#This Row],[AIQ S]])/(Dashboard!$C$13+Dashboard!$C$14+Dashboard!$C$15)*100</f>
        <v/>
      </c>
      <c r="U46" s="46">
        <f>(Dashboard!$C$16*tblHistory[[#This Row],[DTCR S]]+Dashboard!$C$17*tblHistory[[#This Row],[BBB S]]+Dashboard!$C$18*tblHistory[[#This Row],[CCC S]])/(Dashboard!$C$16+Dashboard!$C$17+Dashboard!$C$18)*100</f>
        <v/>
      </c>
      <c r="V46" s="46">
        <f>(Dashboard!$C$19*tblHistory[[#This Row],[BIZD S]]+Dashboard!$C$20*tblHistory[[#This Row],[BKLN S]]+Dashboard!$C$21*tblHistory[[#This Row],[HY S]])/(Dashboard!$C$19+Dashboard!$C$20+Dashboard!$C$21)*100</f>
        <v/>
      </c>
      <c r="W4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" s="46">
        <f>IFERROR(--(tblHistory[[#This Row],[Score]]&gt;=50),0)</f>
        <v/>
      </c>
      <c r="Y46" s="46">
        <f>IFERROR(--AND(tblHistory[[#This Row],[Score]]&gt;=60,OR(AND(tblHistory[[#This Row],[BIZD S]]&gt;=0.8,tblHistory[[#This Row],[BKLN S]]&gt;=0.5),tblHistory[[#This Row],[CCC S]]&gt;=0.8)),0)</f>
        <v/>
      </c>
      <c r="Z46" s="46">
        <f>IFERROR(--AND(tblHistory[[#This Row],[Score]]&gt;=70,tblHistory[[#This Row],[SOX S]]&gt;=0.83,tblHistory[[#This Row],[AIQ S]]&gt;=0.8),0)</f>
        <v/>
      </c>
      <c r="AA4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">
      <c r="A47" s="42" t="n">
        <v>46260</v>
      </c>
      <c r="B47" s="43" t="n">
        <v>29224.5195</v>
      </c>
      <c r="C47" s="43" t="n">
        <v>11611.2402</v>
      </c>
      <c r="D47" s="43" t="n">
        <v>63.07</v>
      </c>
      <c r="E47" s="43" t="n">
        <v>28.345</v>
      </c>
      <c r="F47" s="44" t="n">
        <v>99</v>
      </c>
      <c r="G47" s="44" t="n">
        <v>1031</v>
      </c>
      <c r="H47" s="43" t="n">
        <v>12.9167</v>
      </c>
      <c r="I47" s="43" t="n">
        <v>20.2999</v>
      </c>
      <c r="J47" s="44" t="n">
        <v>267</v>
      </c>
      <c r="K4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" s="46">
        <f>(Dashboard!$C$13*tblHistory[[#This Row],[NDX S]]+Dashboard!$C$14*tblHistory[[#This Row],[SOX S]]+Dashboard!$C$15*tblHistory[[#This Row],[AIQ S]])/(Dashboard!$C$13+Dashboard!$C$14+Dashboard!$C$15)*100</f>
        <v/>
      </c>
      <c r="U47" s="46">
        <f>(Dashboard!$C$16*tblHistory[[#This Row],[DTCR S]]+Dashboard!$C$17*tblHistory[[#This Row],[BBB S]]+Dashboard!$C$18*tblHistory[[#This Row],[CCC S]])/(Dashboard!$C$16+Dashboard!$C$17+Dashboard!$C$18)*100</f>
        <v/>
      </c>
      <c r="V47" s="46">
        <f>(Dashboard!$C$19*tblHistory[[#This Row],[BIZD S]]+Dashboard!$C$20*tblHistory[[#This Row],[BKLN S]]+Dashboard!$C$21*tblHistory[[#This Row],[HY S]])/(Dashboard!$C$19+Dashboard!$C$20+Dashboard!$C$21)*100</f>
        <v/>
      </c>
      <c r="W4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" s="46">
        <f>IFERROR(--(tblHistory[[#This Row],[Score]]&gt;=50),0)</f>
        <v/>
      </c>
      <c r="Y47" s="46">
        <f>IFERROR(--AND(tblHistory[[#This Row],[Score]]&gt;=60,OR(AND(tblHistory[[#This Row],[BIZD S]]&gt;=0.8,tblHistory[[#This Row],[BKLN S]]&gt;=0.5),tblHistory[[#This Row],[CCC S]]&gt;=0.8)),0)</f>
        <v/>
      </c>
      <c r="Z47" s="46">
        <f>IFERROR(--AND(tblHistory[[#This Row],[Score]]&gt;=70,tblHistory[[#This Row],[SOX S]]&gt;=0.83,tblHistory[[#This Row],[AIQ S]]&gt;=0.8),0)</f>
        <v/>
      </c>
      <c r="AA4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">
      <c r="A48" s="42" t="n">
        <v>46259</v>
      </c>
      <c r="B48" s="43" t="n">
        <v>29209.2305</v>
      </c>
      <c r="C48" s="43" t="n">
        <v>11588.04</v>
      </c>
      <c r="D48" s="43" t="n">
        <v>63.08</v>
      </c>
      <c r="E48" s="43" t="n">
        <v>28.56</v>
      </c>
      <c r="F48" s="44" t="n">
        <v>100</v>
      </c>
      <c r="G48" s="44" t="n">
        <v>1039</v>
      </c>
      <c r="H48" s="43" t="n">
        <v>12.936</v>
      </c>
      <c r="I48" s="43" t="n">
        <v>20.2801</v>
      </c>
      <c r="J48" s="44" t="n">
        <v>270</v>
      </c>
      <c r="K4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" s="46">
        <f>(Dashboard!$C$13*tblHistory[[#This Row],[NDX S]]+Dashboard!$C$14*tblHistory[[#This Row],[SOX S]]+Dashboard!$C$15*tblHistory[[#This Row],[AIQ S]])/(Dashboard!$C$13+Dashboard!$C$14+Dashboard!$C$15)*100</f>
        <v/>
      </c>
      <c r="U48" s="46">
        <f>(Dashboard!$C$16*tblHistory[[#This Row],[DTCR S]]+Dashboard!$C$17*tblHistory[[#This Row],[BBB S]]+Dashboard!$C$18*tblHistory[[#This Row],[CCC S]])/(Dashboard!$C$16+Dashboard!$C$17+Dashboard!$C$18)*100</f>
        <v/>
      </c>
      <c r="V48" s="46">
        <f>(Dashboard!$C$19*tblHistory[[#This Row],[BIZD S]]+Dashboard!$C$20*tblHistory[[#This Row],[BKLN S]]+Dashboard!$C$21*tblHistory[[#This Row],[HY S]])/(Dashboard!$C$19+Dashboard!$C$20+Dashboard!$C$21)*100</f>
        <v/>
      </c>
      <c r="W4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" s="46">
        <f>IFERROR(--(tblHistory[[#This Row],[Score]]&gt;=50),0)</f>
        <v/>
      </c>
      <c r="Y48" s="46">
        <f>IFERROR(--AND(tblHistory[[#This Row],[Score]]&gt;=60,OR(AND(tblHistory[[#This Row],[BIZD S]]&gt;=0.8,tblHistory[[#This Row],[BKLN S]]&gt;=0.5),tblHistory[[#This Row],[CCC S]]&gt;=0.8)),0)</f>
        <v/>
      </c>
      <c r="Z48" s="46">
        <f>IFERROR(--AND(tblHistory[[#This Row],[Score]]&gt;=70,tblHistory[[#This Row],[SOX S]]&gt;=0.83,tblHistory[[#This Row],[AIQ S]]&gt;=0.8),0)</f>
        <v/>
      </c>
      <c r="AA4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">
      <c r="A49" s="42" t="n">
        <v>46258</v>
      </c>
      <c r="B49" s="43" t="n">
        <v>29023.1797</v>
      </c>
      <c r="C49" s="43" t="n">
        <v>11423.1699</v>
      </c>
      <c r="D49" s="43" t="n">
        <v>62.3</v>
      </c>
      <c r="E49" s="43" t="n">
        <v>28.01</v>
      </c>
      <c r="F49" s="44" t="n">
        <v>100</v>
      </c>
      <c r="G49" s="44" t="n">
        <v>1036</v>
      </c>
      <c r="H49" s="43" t="n">
        <v>12.9844</v>
      </c>
      <c r="I49" s="43" t="n">
        <v>20.2702</v>
      </c>
      <c r="J49" s="44" t="n">
        <v>269</v>
      </c>
      <c r="K4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" s="46">
        <f>(Dashboard!$C$13*tblHistory[[#This Row],[NDX S]]+Dashboard!$C$14*tblHistory[[#This Row],[SOX S]]+Dashboard!$C$15*tblHistory[[#This Row],[AIQ S]])/(Dashboard!$C$13+Dashboard!$C$14+Dashboard!$C$15)*100</f>
        <v/>
      </c>
      <c r="U49" s="46">
        <f>(Dashboard!$C$16*tblHistory[[#This Row],[DTCR S]]+Dashboard!$C$17*tblHistory[[#This Row],[BBB S]]+Dashboard!$C$18*tblHistory[[#This Row],[CCC S]])/(Dashboard!$C$16+Dashboard!$C$17+Dashboard!$C$18)*100</f>
        <v/>
      </c>
      <c r="V49" s="46">
        <f>(Dashboard!$C$19*tblHistory[[#This Row],[BIZD S]]+Dashboard!$C$20*tblHistory[[#This Row],[BKLN S]]+Dashboard!$C$21*tblHistory[[#This Row],[HY S]])/(Dashboard!$C$19+Dashboard!$C$20+Dashboard!$C$21)*100</f>
        <v/>
      </c>
      <c r="W4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" s="46">
        <f>IFERROR(--(tblHistory[[#This Row],[Score]]&gt;=50),0)</f>
        <v/>
      </c>
      <c r="Y49" s="46">
        <f>IFERROR(--AND(tblHistory[[#This Row],[Score]]&gt;=60,OR(AND(tblHistory[[#This Row],[BIZD S]]&gt;=0.8,tblHistory[[#This Row],[BKLN S]]&gt;=0.5),tblHistory[[#This Row],[CCC S]]&gt;=0.8)),0)</f>
        <v/>
      </c>
      <c r="Z49" s="46">
        <f>IFERROR(--AND(tblHistory[[#This Row],[Score]]&gt;=70,tblHistory[[#This Row],[SOX S]]&gt;=0.83,tblHistory[[#This Row],[AIQ S]]&gt;=0.8),0)</f>
        <v/>
      </c>
      <c r="AA4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">
      <c r="A50" s="42" t="n">
        <v>46255</v>
      </c>
      <c r="B50" s="43" t="n">
        <v>29308.8594</v>
      </c>
      <c r="C50" s="43" t="n">
        <v>11740.3701</v>
      </c>
      <c r="D50" s="43" t="n">
        <v>63.43</v>
      </c>
      <c r="E50" s="43" t="n">
        <v>28.32</v>
      </c>
      <c r="F50" s="44" t="n">
        <v>100</v>
      </c>
      <c r="G50" s="44" t="n">
        <v>1037</v>
      </c>
      <c r="H50" s="43" t="n">
        <v>12.8394</v>
      </c>
      <c r="I50" s="43" t="n">
        <v>20.2573</v>
      </c>
      <c r="J50" s="44" t="n">
        <v>270</v>
      </c>
      <c r="K5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" s="46">
        <f>(Dashboard!$C$13*tblHistory[[#This Row],[NDX S]]+Dashboard!$C$14*tblHistory[[#This Row],[SOX S]]+Dashboard!$C$15*tblHistory[[#This Row],[AIQ S]])/(Dashboard!$C$13+Dashboard!$C$14+Dashboard!$C$15)*100</f>
        <v/>
      </c>
      <c r="U50" s="46">
        <f>(Dashboard!$C$16*tblHistory[[#This Row],[DTCR S]]+Dashboard!$C$17*tblHistory[[#This Row],[BBB S]]+Dashboard!$C$18*tblHistory[[#This Row],[CCC S]])/(Dashboard!$C$16+Dashboard!$C$17+Dashboard!$C$18)*100</f>
        <v/>
      </c>
      <c r="V50" s="46">
        <f>(Dashboard!$C$19*tblHistory[[#This Row],[BIZD S]]+Dashboard!$C$20*tblHistory[[#This Row],[BKLN S]]+Dashboard!$C$21*tblHistory[[#This Row],[HY S]])/(Dashboard!$C$19+Dashboard!$C$20+Dashboard!$C$21)*100</f>
        <v/>
      </c>
      <c r="W5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" s="46">
        <f>IFERROR(--(tblHistory[[#This Row],[Score]]&gt;=50),0)</f>
        <v/>
      </c>
      <c r="Y50" s="46">
        <f>IFERROR(--AND(tblHistory[[#This Row],[Score]]&gt;=60,OR(AND(tblHistory[[#This Row],[BIZD S]]&gt;=0.8,tblHistory[[#This Row],[BKLN S]]&gt;=0.5),tblHistory[[#This Row],[CCC S]]&gt;=0.8)),0)</f>
        <v/>
      </c>
      <c r="Z50" s="46">
        <f>IFERROR(--AND(tblHistory[[#This Row],[Score]]&gt;=70,tblHistory[[#This Row],[SOX S]]&gt;=0.83,tblHistory[[#This Row],[AIQ S]]&gt;=0.8),0)</f>
        <v/>
      </c>
      <c r="AA5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">
      <c r="A51" s="42" t="n">
        <v>46254</v>
      </c>
      <c r="B51" s="43" t="n">
        <v>29213.1602</v>
      </c>
      <c r="C51" s="43" t="n">
        <v>11800.0195</v>
      </c>
      <c r="D51" s="43" t="n">
        <v>63.03</v>
      </c>
      <c r="E51" s="43" t="n">
        <v>28.48</v>
      </c>
      <c r="F51" s="44" t="n">
        <v>100</v>
      </c>
      <c r="G51" s="44" t="n">
        <v>1035</v>
      </c>
      <c r="H51" s="43" t="n">
        <v>12.8394</v>
      </c>
      <c r="I51" s="43" t="n">
        <v>20.2475</v>
      </c>
      <c r="J51" s="44" t="n">
        <v>275</v>
      </c>
      <c r="K5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" s="46">
        <f>(Dashboard!$C$13*tblHistory[[#This Row],[NDX S]]+Dashboard!$C$14*tblHistory[[#This Row],[SOX S]]+Dashboard!$C$15*tblHistory[[#This Row],[AIQ S]])/(Dashboard!$C$13+Dashboard!$C$14+Dashboard!$C$15)*100</f>
        <v/>
      </c>
      <c r="U51" s="46">
        <f>(Dashboard!$C$16*tblHistory[[#This Row],[DTCR S]]+Dashboard!$C$17*tblHistory[[#This Row],[BBB S]]+Dashboard!$C$18*tblHistory[[#This Row],[CCC S]])/(Dashboard!$C$16+Dashboard!$C$17+Dashboard!$C$18)*100</f>
        <v/>
      </c>
      <c r="V51" s="46">
        <f>(Dashboard!$C$19*tblHistory[[#This Row],[BIZD S]]+Dashboard!$C$20*tblHistory[[#This Row],[BKLN S]]+Dashboard!$C$21*tblHistory[[#This Row],[HY S]])/(Dashboard!$C$19+Dashboard!$C$20+Dashboard!$C$21)*100</f>
        <v/>
      </c>
      <c r="W5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" s="46">
        <f>IFERROR(--(tblHistory[[#This Row],[Score]]&gt;=50),0)</f>
        <v/>
      </c>
      <c r="Y51" s="46">
        <f>IFERROR(--AND(tblHistory[[#This Row],[Score]]&gt;=60,OR(AND(tblHistory[[#This Row],[BIZD S]]&gt;=0.8,tblHistory[[#This Row],[BKLN S]]&gt;=0.5),tblHistory[[#This Row],[CCC S]]&gt;=0.8)),0)</f>
        <v/>
      </c>
      <c r="Z51" s="46">
        <f>IFERROR(--AND(tblHistory[[#This Row],[Score]]&gt;=70,tblHistory[[#This Row],[SOX S]]&gt;=0.83,tblHistory[[#This Row],[AIQ S]]&gt;=0.8),0)</f>
        <v/>
      </c>
      <c r="AA5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">
      <c r="A52" s="42" t="n">
        <v>46253</v>
      </c>
      <c r="B52" s="43" t="n">
        <v>29426.0195</v>
      </c>
      <c r="C52" s="43" t="n">
        <v>11738.2305</v>
      </c>
      <c r="D52" s="43" t="n">
        <v>62.99</v>
      </c>
      <c r="E52" s="43" t="n">
        <v>28.34</v>
      </c>
      <c r="F52" s="44" t="n">
        <v>100</v>
      </c>
      <c r="G52" s="44" t="n">
        <v>1030</v>
      </c>
      <c r="H52" s="43" t="n">
        <v>12.8105</v>
      </c>
      <c r="I52" s="43" t="n">
        <v>20.2278</v>
      </c>
      <c r="J52" s="44" t="n">
        <v>273</v>
      </c>
      <c r="K5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" s="46">
        <f>(Dashboard!$C$13*tblHistory[[#This Row],[NDX S]]+Dashboard!$C$14*tblHistory[[#This Row],[SOX S]]+Dashboard!$C$15*tblHistory[[#This Row],[AIQ S]])/(Dashboard!$C$13+Dashboard!$C$14+Dashboard!$C$15)*100</f>
        <v/>
      </c>
      <c r="U52" s="46">
        <f>(Dashboard!$C$16*tblHistory[[#This Row],[DTCR S]]+Dashboard!$C$17*tblHistory[[#This Row],[BBB S]]+Dashboard!$C$18*tblHistory[[#This Row],[CCC S]])/(Dashboard!$C$16+Dashboard!$C$17+Dashboard!$C$18)*100</f>
        <v/>
      </c>
      <c r="V52" s="46">
        <f>(Dashboard!$C$19*tblHistory[[#This Row],[BIZD S]]+Dashboard!$C$20*tblHistory[[#This Row],[BKLN S]]+Dashboard!$C$21*tblHistory[[#This Row],[HY S]])/(Dashboard!$C$19+Dashboard!$C$20+Dashboard!$C$21)*100</f>
        <v/>
      </c>
      <c r="W5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" s="46">
        <f>IFERROR(--(tblHistory[[#This Row],[Score]]&gt;=50),0)</f>
        <v/>
      </c>
      <c r="Y52" s="46">
        <f>IFERROR(--AND(tblHistory[[#This Row],[Score]]&gt;=60,OR(AND(tblHistory[[#This Row],[BIZD S]]&gt;=0.8,tblHistory[[#This Row],[BKLN S]]&gt;=0.5),tblHistory[[#This Row],[CCC S]]&gt;=0.8)),0)</f>
        <v/>
      </c>
      <c r="Z52" s="46">
        <f>IFERROR(--AND(tblHistory[[#This Row],[Score]]&gt;=70,tblHistory[[#This Row],[SOX S]]&gt;=0.83,tblHistory[[#This Row],[AIQ S]]&gt;=0.8),0)</f>
        <v/>
      </c>
      <c r="AA5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">
      <c r="A53" s="42" t="n">
        <v>46252</v>
      </c>
      <c r="B53" s="43" t="n">
        <v>29490.9609</v>
      </c>
      <c r="C53" s="43" t="n">
        <v>11992.46</v>
      </c>
      <c r="D53" s="43" t="n">
        <v>62.53</v>
      </c>
      <c r="E53" s="43" t="n">
        <v>28.47</v>
      </c>
      <c r="F53" s="44" t="n">
        <v>100</v>
      </c>
      <c r="G53" s="44" t="n">
        <v>1027</v>
      </c>
      <c r="H53" s="43" t="n">
        <v>12.7718</v>
      </c>
      <c r="I53" s="43" t="n">
        <v>20.1983</v>
      </c>
      <c r="J53" s="44" t="n">
        <v>275</v>
      </c>
      <c r="K5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" s="46">
        <f>(Dashboard!$C$13*tblHistory[[#This Row],[NDX S]]+Dashboard!$C$14*tblHistory[[#This Row],[SOX S]]+Dashboard!$C$15*tblHistory[[#This Row],[AIQ S]])/(Dashboard!$C$13+Dashboard!$C$14+Dashboard!$C$15)*100</f>
        <v/>
      </c>
      <c r="U53" s="46">
        <f>(Dashboard!$C$16*tblHistory[[#This Row],[DTCR S]]+Dashboard!$C$17*tblHistory[[#This Row],[BBB S]]+Dashboard!$C$18*tblHistory[[#This Row],[CCC S]])/(Dashboard!$C$16+Dashboard!$C$17+Dashboard!$C$18)*100</f>
        <v/>
      </c>
      <c r="V53" s="46">
        <f>(Dashboard!$C$19*tblHistory[[#This Row],[BIZD S]]+Dashboard!$C$20*tblHistory[[#This Row],[BKLN S]]+Dashboard!$C$21*tblHistory[[#This Row],[HY S]])/(Dashboard!$C$19+Dashboard!$C$20+Dashboard!$C$21)*100</f>
        <v/>
      </c>
      <c r="W5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" s="46">
        <f>IFERROR(--(tblHistory[[#This Row],[Score]]&gt;=50),0)</f>
        <v/>
      </c>
      <c r="Y53" s="46">
        <f>IFERROR(--AND(tblHistory[[#This Row],[Score]]&gt;=60,OR(AND(tblHistory[[#This Row],[BIZD S]]&gt;=0.8,tblHistory[[#This Row],[BKLN S]]&gt;=0.5),tblHistory[[#This Row],[CCC S]]&gt;=0.8)),0)</f>
        <v/>
      </c>
      <c r="Z53" s="46">
        <f>IFERROR(--AND(tblHistory[[#This Row],[Score]]&gt;=70,tblHistory[[#This Row],[SOX S]]&gt;=0.83,tblHistory[[#This Row],[AIQ S]]&gt;=0.8),0)</f>
        <v/>
      </c>
      <c r="AA5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">
      <c r="A54" s="42" t="n">
        <v>46251</v>
      </c>
      <c r="B54" s="43" t="n">
        <v>29995.3809</v>
      </c>
      <c r="C54" s="43" t="n">
        <v>12621</v>
      </c>
      <c r="D54" s="43" t="n">
        <v>64</v>
      </c>
      <c r="E54" s="43" t="n">
        <v>29.21</v>
      </c>
      <c r="F54" s="44" t="n">
        <v>99</v>
      </c>
      <c r="G54" s="44" t="n">
        <v>1018</v>
      </c>
      <c r="H54" s="43" t="n">
        <v>12.7332</v>
      </c>
      <c r="I54" s="43" t="n">
        <v>20.2377</v>
      </c>
      <c r="J54" s="44" t="n">
        <v>270</v>
      </c>
      <c r="K5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" s="46">
        <f>(Dashboard!$C$13*tblHistory[[#This Row],[NDX S]]+Dashboard!$C$14*tblHistory[[#This Row],[SOX S]]+Dashboard!$C$15*tblHistory[[#This Row],[AIQ S]])/(Dashboard!$C$13+Dashboard!$C$14+Dashboard!$C$15)*100</f>
        <v/>
      </c>
      <c r="U54" s="46">
        <f>(Dashboard!$C$16*tblHistory[[#This Row],[DTCR S]]+Dashboard!$C$17*tblHistory[[#This Row],[BBB S]]+Dashboard!$C$18*tblHistory[[#This Row],[CCC S]])/(Dashboard!$C$16+Dashboard!$C$17+Dashboard!$C$18)*100</f>
        <v/>
      </c>
      <c r="V54" s="46">
        <f>(Dashboard!$C$19*tblHistory[[#This Row],[BIZD S]]+Dashboard!$C$20*tblHistory[[#This Row],[BKLN S]]+Dashboard!$C$21*tblHistory[[#This Row],[HY S]])/(Dashboard!$C$19+Dashboard!$C$20+Dashboard!$C$21)*100</f>
        <v/>
      </c>
      <c r="W5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" s="46">
        <f>IFERROR(--(tblHistory[[#This Row],[Score]]&gt;=50),0)</f>
        <v/>
      </c>
      <c r="Y54" s="46">
        <f>IFERROR(--AND(tblHistory[[#This Row],[Score]]&gt;=60,OR(AND(tblHistory[[#This Row],[BIZD S]]&gt;=0.8,tblHistory[[#This Row],[BKLN S]]&gt;=0.5),tblHistory[[#This Row],[CCC S]]&gt;=0.8)),0)</f>
        <v/>
      </c>
      <c r="Z54" s="46">
        <f>IFERROR(--AND(tblHistory[[#This Row],[Score]]&gt;=70,tblHistory[[#This Row],[SOX S]]&gt;=0.83,tblHistory[[#This Row],[AIQ S]]&gt;=0.8),0)</f>
        <v/>
      </c>
      <c r="AA5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">
      <c r="A55" s="42" t="n">
        <v>46248</v>
      </c>
      <c r="B55" s="43" t="n">
        <v>30046.1406</v>
      </c>
      <c r="C55" s="43" t="n">
        <v>12417.0498</v>
      </c>
      <c r="D55" s="43" t="n">
        <v>64.2</v>
      </c>
      <c r="E55" s="43" t="n">
        <v>29.33</v>
      </c>
      <c r="F55" s="44" t="n">
        <v>98</v>
      </c>
      <c r="G55" s="44" t="n">
        <v>1012</v>
      </c>
      <c r="H55" s="43" t="n">
        <v>12.9167</v>
      </c>
      <c r="I55" s="43" t="n">
        <v>20.2278</v>
      </c>
      <c r="J55" s="44" t="n">
        <v>267</v>
      </c>
      <c r="K5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" s="46">
        <f>(Dashboard!$C$13*tblHistory[[#This Row],[NDX S]]+Dashboard!$C$14*tblHistory[[#This Row],[SOX S]]+Dashboard!$C$15*tblHistory[[#This Row],[AIQ S]])/(Dashboard!$C$13+Dashboard!$C$14+Dashboard!$C$15)*100</f>
        <v/>
      </c>
      <c r="U55" s="46">
        <f>(Dashboard!$C$16*tblHistory[[#This Row],[DTCR S]]+Dashboard!$C$17*tblHistory[[#This Row],[BBB S]]+Dashboard!$C$18*tblHistory[[#This Row],[CCC S]])/(Dashboard!$C$16+Dashboard!$C$17+Dashboard!$C$18)*100</f>
        <v/>
      </c>
      <c r="V55" s="46">
        <f>(Dashboard!$C$19*tblHistory[[#This Row],[BIZD S]]+Dashboard!$C$20*tblHistory[[#This Row],[BKLN S]]+Dashboard!$C$21*tblHistory[[#This Row],[HY S]])/(Dashboard!$C$19+Dashboard!$C$20+Dashboard!$C$21)*100</f>
        <v/>
      </c>
      <c r="W5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" s="46">
        <f>IFERROR(--(tblHistory[[#This Row],[Score]]&gt;=50),0)</f>
        <v/>
      </c>
      <c r="Y55" s="46">
        <f>IFERROR(--AND(tblHistory[[#This Row],[Score]]&gt;=60,OR(AND(tblHistory[[#This Row],[BIZD S]]&gt;=0.8,tblHistory[[#This Row],[BKLN S]]&gt;=0.5),tblHistory[[#This Row],[CCC S]]&gt;=0.8)),0)</f>
        <v/>
      </c>
      <c r="Z55" s="46">
        <f>IFERROR(--AND(tblHistory[[#This Row],[Score]]&gt;=70,tblHistory[[#This Row],[SOX S]]&gt;=0.83,tblHistory[[#This Row],[AIQ S]]&gt;=0.8),0)</f>
        <v/>
      </c>
      <c r="AA5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">
      <c r="A56" s="42" t="n">
        <v>46247</v>
      </c>
      <c r="B56" s="43" t="n">
        <v>30084.5</v>
      </c>
      <c r="C56" s="43" t="n">
        <v>12456</v>
      </c>
      <c r="D56" s="43" t="n">
        <v>64.62</v>
      </c>
      <c r="E56" s="43" t="n">
        <v>29.05</v>
      </c>
      <c r="F56" s="44" t="n">
        <v>98</v>
      </c>
      <c r="G56" s="44" t="n">
        <v>1024</v>
      </c>
      <c r="H56" s="43" t="n">
        <v>13.081</v>
      </c>
      <c r="I56" s="43" t="n">
        <v>20.2278</v>
      </c>
      <c r="J56" s="44" t="n">
        <v>271</v>
      </c>
      <c r="K5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" s="46">
        <f>(Dashboard!$C$13*tblHistory[[#This Row],[NDX S]]+Dashboard!$C$14*tblHistory[[#This Row],[SOX S]]+Dashboard!$C$15*tblHistory[[#This Row],[AIQ S]])/(Dashboard!$C$13+Dashboard!$C$14+Dashboard!$C$15)*100</f>
        <v/>
      </c>
      <c r="U56" s="46">
        <f>(Dashboard!$C$16*tblHistory[[#This Row],[DTCR S]]+Dashboard!$C$17*tblHistory[[#This Row],[BBB S]]+Dashboard!$C$18*tblHistory[[#This Row],[CCC S]])/(Dashboard!$C$16+Dashboard!$C$17+Dashboard!$C$18)*100</f>
        <v/>
      </c>
      <c r="V56" s="46">
        <f>(Dashboard!$C$19*tblHistory[[#This Row],[BIZD S]]+Dashboard!$C$20*tblHistory[[#This Row],[BKLN S]]+Dashboard!$C$21*tblHistory[[#This Row],[HY S]])/(Dashboard!$C$19+Dashboard!$C$20+Dashboard!$C$21)*100</f>
        <v/>
      </c>
      <c r="W5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" s="46">
        <f>IFERROR(--(tblHistory[[#This Row],[Score]]&gt;=50),0)</f>
        <v/>
      </c>
      <c r="Y56" s="46">
        <f>IFERROR(--AND(tblHistory[[#This Row],[Score]]&gt;=60,OR(AND(tblHistory[[#This Row],[BIZD S]]&gt;=0.8,tblHistory[[#This Row],[BKLN S]]&gt;=0.5),tblHistory[[#This Row],[CCC S]]&gt;=0.8)),0)</f>
        <v/>
      </c>
      <c r="Z56" s="46">
        <f>IFERROR(--AND(tblHistory[[#This Row],[Score]]&gt;=70,tblHistory[[#This Row],[SOX S]]&gt;=0.83,tblHistory[[#This Row],[AIQ S]]&gt;=0.8),0)</f>
        <v/>
      </c>
      <c r="AA5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">
      <c r="A57" s="42" t="n">
        <v>46246</v>
      </c>
      <c r="B57" s="43" t="n">
        <v>29742.5996</v>
      </c>
      <c r="C57" s="43" t="n">
        <v>12399.3799</v>
      </c>
      <c r="D57" s="43" t="n">
        <v>63.77</v>
      </c>
      <c r="E57" s="43" t="n">
        <v>28.69</v>
      </c>
      <c r="F57" s="44" t="n">
        <v>98</v>
      </c>
      <c r="G57" s="44" t="n">
        <v>1020</v>
      </c>
      <c r="H57" s="43" t="n">
        <v>12.8394</v>
      </c>
      <c r="I57" s="43" t="n">
        <v>20.1983</v>
      </c>
      <c r="J57" s="44" t="n">
        <v>271</v>
      </c>
      <c r="K5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" s="46">
        <f>(Dashboard!$C$13*tblHistory[[#This Row],[NDX S]]+Dashboard!$C$14*tblHistory[[#This Row],[SOX S]]+Dashboard!$C$15*tblHistory[[#This Row],[AIQ S]])/(Dashboard!$C$13+Dashboard!$C$14+Dashboard!$C$15)*100</f>
        <v/>
      </c>
      <c r="U57" s="46">
        <f>(Dashboard!$C$16*tblHistory[[#This Row],[DTCR S]]+Dashboard!$C$17*tblHistory[[#This Row],[BBB S]]+Dashboard!$C$18*tblHistory[[#This Row],[CCC S]])/(Dashboard!$C$16+Dashboard!$C$17+Dashboard!$C$18)*100</f>
        <v/>
      </c>
      <c r="V57" s="46">
        <f>(Dashboard!$C$19*tblHistory[[#This Row],[BIZD S]]+Dashboard!$C$20*tblHistory[[#This Row],[BKLN S]]+Dashboard!$C$21*tblHistory[[#This Row],[HY S]])/(Dashboard!$C$19+Dashboard!$C$20+Dashboard!$C$21)*100</f>
        <v/>
      </c>
      <c r="W5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" s="46">
        <f>IFERROR(--(tblHistory[[#This Row],[Score]]&gt;=50),0)</f>
        <v/>
      </c>
      <c r="Y57" s="46">
        <f>IFERROR(--AND(tblHistory[[#This Row],[Score]]&gt;=60,OR(AND(tblHistory[[#This Row],[BIZD S]]&gt;=0.8,tblHistory[[#This Row],[BKLN S]]&gt;=0.5),tblHistory[[#This Row],[CCC S]]&gt;=0.8)),0)</f>
        <v/>
      </c>
      <c r="Z57" s="46">
        <f>IFERROR(--AND(tblHistory[[#This Row],[Score]]&gt;=70,tblHistory[[#This Row],[SOX S]]&gt;=0.83,tblHistory[[#This Row],[AIQ S]]&gt;=0.8),0)</f>
        <v/>
      </c>
      <c r="AA5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">
      <c r="A58" s="42" t="n">
        <v>46245</v>
      </c>
      <c r="B58" s="43" t="n">
        <v>29525.4805</v>
      </c>
      <c r="C58" s="43" t="n">
        <v>12098.4697</v>
      </c>
      <c r="D58" s="43" t="n">
        <v>63.2</v>
      </c>
      <c r="E58" s="43" t="n">
        <v>28.01</v>
      </c>
      <c r="F58" s="44" t="n">
        <v>98</v>
      </c>
      <c r="G58" s="44" t="n">
        <v>1023</v>
      </c>
      <c r="H58" s="43" t="n">
        <v>12.9071</v>
      </c>
      <c r="I58" s="43" t="n">
        <v>20.1787</v>
      </c>
      <c r="J58" s="44" t="n">
        <v>272</v>
      </c>
      <c r="K5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" s="46">
        <f>(Dashboard!$C$13*tblHistory[[#This Row],[NDX S]]+Dashboard!$C$14*tblHistory[[#This Row],[SOX S]]+Dashboard!$C$15*tblHistory[[#This Row],[AIQ S]])/(Dashboard!$C$13+Dashboard!$C$14+Dashboard!$C$15)*100</f>
        <v/>
      </c>
      <c r="U58" s="46">
        <f>(Dashboard!$C$16*tblHistory[[#This Row],[DTCR S]]+Dashboard!$C$17*tblHistory[[#This Row],[BBB S]]+Dashboard!$C$18*tblHistory[[#This Row],[CCC S]])/(Dashboard!$C$16+Dashboard!$C$17+Dashboard!$C$18)*100</f>
        <v/>
      </c>
      <c r="V58" s="46">
        <f>(Dashboard!$C$19*tblHistory[[#This Row],[BIZD S]]+Dashboard!$C$20*tblHistory[[#This Row],[BKLN S]]+Dashboard!$C$21*tblHistory[[#This Row],[HY S]])/(Dashboard!$C$19+Dashboard!$C$20+Dashboard!$C$21)*100</f>
        <v/>
      </c>
      <c r="W5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" s="46">
        <f>IFERROR(--(tblHistory[[#This Row],[Score]]&gt;=50),0)</f>
        <v/>
      </c>
      <c r="Y58" s="46">
        <f>IFERROR(--AND(tblHistory[[#This Row],[Score]]&gt;=60,OR(AND(tblHistory[[#This Row],[BIZD S]]&gt;=0.8,tblHistory[[#This Row],[BKLN S]]&gt;=0.5),tblHistory[[#This Row],[CCC S]]&gt;=0.8)),0)</f>
        <v/>
      </c>
      <c r="Z58" s="46">
        <f>IFERROR(--AND(tblHistory[[#This Row],[Score]]&gt;=70,tblHistory[[#This Row],[SOX S]]&gt;=0.83,tblHistory[[#This Row],[AIQ S]]&gt;=0.8),0)</f>
        <v/>
      </c>
      <c r="AA5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">
      <c r="A59" s="42" t="n">
        <v>46244</v>
      </c>
      <c r="B59" s="43" t="n">
        <v>29621.8008</v>
      </c>
      <c r="C59" s="43" t="n">
        <v>11993.8604</v>
      </c>
      <c r="D59" s="43" t="n">
        <v>63.51</v>
      </c>
      <c r="E59" s="43" t="n">
        <v>27.95</v>
      </c>
      <c r="F59" s="44" t="n">
        <v>97</v>
      </c>
      <c r="G59" s="44" t="n">
        <v>1014</v>
      </c>
      <c r="H59" s="43" t="n">
        <v>12.8684</v>
      </c>
      <c r="I59" s="43" t="n">
        <v>20.159</v>
      </c>
      <c r="J59" s="44" t="n">
        <v>270</v>
      </c>
      <c r="K5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" s="46">
        <f>(Dashboard!$C$13*tblHistory[[#This Row],[NDX S]]+Dashboard!$C$14*tblHistory[[#This Row],[SOX S]]+Dashboard!$C$15*tblHistory[[#This Row],[AIQ S]])/(Dashboard!$C$13+Dashboard!$C$14+Dashboard!$C$15)*100</f>
        <v/>
      </c>
      <c r="U59" s="46">
        <f>(Dashboard!$C$16*tblHistory[[#This Row],[DTCR S]]+Dashboard!$C$17*tblHistory[[#This Row],[BBB S]]+Dashboard!$C$18*tblHistory[[#This Row],[CCC S]])/(Dashboard!$C$16+Dashboard!$C$17+Dashboard!$C$18)*100</f>
        <v/>
      </c>
      <c r="V59" s="46">
        <f>(Dashboard!$C$19*tblHistory[[#This Row],[BIZD S]]+Dashboard!$C$20*tblHistory[[#This Row],[BKLN S]]+Dashboard!$C$21*tblHistory[[#This Row],[HY S]])/(Dashboard!$C$19+Dashboard!$C$20+Dashboard!$C$21)*100</f>
        <v/>
      </c>
      <c r="W5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" s="46">
        <f>IFERROR(--(tblHistory[[#This Row],[Score]]&gt;=50),0)</f>
        <v/>
      </c>
      <c r="Y59" s="46">
        <f>IFERROR(--AND(tblHistory[[#This Row],[Score]]&gt;=60,OR(AND(tblHistory[[#This Row],[BIZD S]]&gt;=0.8,tblHistory[[#This Row],[BKLN S]]&gt;=0.5),tblHistory[[#This Row],[CCC S]]&gt;=0.8)),0)</f>
        <v/>
      </c>
      <c r="Z59" s="46">
        <f>IFERROR(--AND(tblHistory[[#This Row],[Score]]&gt;=70,tblHistory[[#This Row],[SOX S]]&gt;=0.83,tblHistory[[#This Row],[AIQ S]]&gt;=0.8),0)</f>
        <v/>
      </c>
      <c r="AA5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">
      <c r="A60" s="42" t="n">
        <v>46241</v>
      </c>
      <c r="B60" s="43" t="n">
        <v>29722.3008</v>
      </c>
      <c r="C60" s="43" t="n">
        <v>12356.79</v>
      </c>
      <c r="D60" s="43" t="n">
        <v>63.35</v>
      </c>
      <c r="E60" s="43" t="n">
        <v>28.31</v>
      </c>
      <c r="F60" s="44" t="n">
        <v>97</v>
      </c>
      <c r="G60" s="44" t="n">
        <v>1013</v>
      </c>
      <c r="H60" s="43" t="n">
        <v>12.9554</v>
      </c>
      <c r="I60" s="43" t="n">
        <v>20.159</v>
      </c>
      <c r="J60" s="44" t="n">
        <v>270</v>
      </c>
      <c r="K6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" s="46">
        <f>(Dashboard!$C$13*tblHistory[[#This Row],[NDX S]]+Dashboard!$C$14*tblHistory[[#This Row],[SOX S]]+Dashboard!$C$15*tblHistory[[#This Row],[AIQ S]])/(Dashboard!$C$13+Dashboard!$C$14+Dashboard!$C$15)*100</f>
        <v/>
      </c>
      <c r="U60" s="46">
        <f>(Dashboard!$C$16*tblHistory[[#This Row],[DTCR S]]+Dashboard!$C$17*tblHistory[[#This Row],[BBB S]]+Dashboard!$C$18*tblHistory[[#This Row],[CCC S]])/(Dashboard!$C$16+Dashboard!$C$17+Dashboard!$C$18)*100</f>
        <v/>
      </c>
      <c r="V60" s="46">
        <f>(Dashboard!$C$19*tblHistory[[#This Row],[BIZD S]]+Dashboard!$C$20*tblHistory[[#This Row],[BKLN S]]+Dashboard!$C$21*tblHistory[[#This Row],[HY S]])/(Dashboard!$C$19+Dashboard!$C$20+Dashboard!$C$21)*100</f>
        <v/>
      </c>
      <c r="W6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" s="46">
        <f>IFERROR(--(tblHistory[[#This Row],[Score]]&gt;=50),0)</f>
        <v/>
      </c>
      <c r="Y60" s="46">
        <f>IFERROR(--AND(tblHistory[[#This Row],[Score]]&gt;=60,OR(AND(tblHistory[[#This Row],[BIZD S]]&gt;=0.8,tblHistory[[#This Row],[BKLN S]]&gt;=0.5),tblHistory[[#This Row],[CCC S]]&gt;=0.8)),0)</f>
        <v/>
      </c>
      <c r="Z60" s="46">
        <f>IFERROR(--AND(tblHistory[[#This Row],[Score]]&gt;=70,tblHistory[[#This Row],[SOX S]]&gt;=0.83,tblHistory[[#This Row],[AIQ S]]&gt;=0.8),0)</f>
        <v/>
      </c>
      <c r="AA6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">
      <c r="A61" s="42" t="n">
        <v>46240</v>
      </c>
      <c r="B61" s="43" t="n">
        <v>29373.3301</v>
      </c>
      <c r="C61" s="43" t="n">
        <v>12048.6904</v>
      </c>
      <c r="D61" s="43" t="n">
        <v>61.95</v>
      </c>
      <c r="E61" s="43" t="n">
        <v>27.98</v>
      </c>
      <c r="F61" s="44" t="n">
        <v>97</v>
      </c>
      <c r="G61" s="44" t="n">
        <v>1017</v>
      </c>
      <c r="H61" s="43" t="n">
        <v>12.6752</v>
      </c>
      <c r="I61" s="43" t="n">
        <v>20.159</v>
      </c>
      <c r="J61" s="44" t="n">
        <v>271</v>
      </c>
      <c r="K6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" s="46">
        <f>(Dashboard!$C$13*tblHistory[[#This Row],[NDX S]]+Dashboard!$C$14*tblHistory[[#This Row],[SOX S]]+Dashboard!$C$15*tblHistory[[#This Row],[AIQ S]])/(Dashboard!$C$13+Dashboard!$C$14+Dashboard!$C$15)*100</f>
        <v/>
      </c>
      <c r="U61" s="46">
        <f>(Dashboard!$C$16*tblHistory[[#This Row],[DTCR S]]+Dashboard!$C$17*tblHistory[[#This Row],[BBB S]]+Dashboard!$C$18*tblHistory[[#This Row],[CCC S]])/(Dashboard!$C$16+Dashboard!$C$17+Dashboard!$C$18)*100</f>
        <v/>
      </c>
      <c r="V61" s="46">
        <f>(Dashboard!$C$19*tblHistory[[#This Row],[BIZD S]]+Dashboard!$C$20*tblHistory[[#This Row],[BKLN S]]+Dashboard!$C$21*tblHistory[[#This Row],[HY S]])/(Dashboard!$C$19+Dashboard!$C$20+Dashboard!$C$21)*100</f>
        <v/>
      </c>
      <c r="W6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" s="46">
        <f>IFERROR(--(tblHistory[[#This Row],[Score]]&gt;=50),0)</f>
        <v/>
      </c>
      <c r="Y61" s="46">
        <f>IFERROR(--AND(tblHistory[[#This Row],[Score]]&gt;=60,OR(AND(tblHistory[[#This Row],[BIZD S]]&gt;=0.8,tblHistory[[#This Row],[BKLN S]]&gt;=0.5),tblHistory[[#This Row],[CCC S]]&gt;=0.8)),0)</f>
        <v/>
      </c>
      <c r="Z61" s="46">
        <f>IFERROR(--AND(tblHistory[[#This Row],[Score]]&gt;=70,tblHistory[[#This Row],[SOX S]]&gt;=0.83,tblHistory[[#This Row],[AIQ S]]&gt;=0.8),0)</f>
        <v/>
      </c>
      <c r="AA6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">
      <c r="A62" s="42" t="n">
        <v>46239</v>
      </c>
      <c r="B62" s="43" t="n">
        <v>29487.7891</v>
      </c>
      <c r="C62" s="43" t="n">
        <v>12008.8799</v>
      </c>
      <c r="D62" s="43" t="n">
        <v>62.36</v>
      </c>
      <c r="E62" s="43" t="n">
        <v>28.2</v>
      </c>
      <c r="F62" s="44" t="n">
        <v>96</v>
      </c>
      <c r="G62" s="44" t="n">
        <v>1023</v>
      </c>
      <c r="H62" s="43" t="n">
        <v>12.2888</v>
      </c>
      <c r="I62" s="43" t="n">
        <v>20.1393</v>
      </c>
      <c r="J62" s="44" t="n">
        <v>275</v>
      </c>
      <c r="K6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" s="46">
        <f>(Dashboard!$C$13*tblHistory[[#This Row],[NDX S]]+Dashboard!$C$14*tblHistory[[#This Row],[SOX S]]+Dashboard!$C$15*tblHistory[[#This Row],[AIQ S]])/(Dashboard!$C$13+Dashboard!$C$14+Dashboard!$C$15)*100</f>
        <v/>
      </c>
      <c r="U62" s="46">
        <f>(Dashboard!$C$16*tblHistory[[#This Row],[DTCR S]]+Dashboard!$C$17*tblHistory[[#This Row],[BBB S]]+Dashboard!$C$18*tblHistory[[#This Row],[CCC S]])/(Dashboard!$C$16+Dashboard!$C$17+Dashboard!$C$18)*100</f>
        <v/>
      </c>
      <c r="V62" s="46">
        <f>(Dashboard!$C$19*tblHistory[[#This Row],[BIZD S]]+Dashboard!$C$20*tblHistory[[#This Row],[BKLN S]]+Dashboard!$C$21*tblHistory[[#This Row],[HY S]])/(Dashboard!$C$19+Dashboard!$C$20+Dashboard!$C$21)*100</f>
        <v/>
      </c>
      <c r="W6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" s="46">
        <f>IFERROR(--(tblHistory[[#This Row],[Score]]&gt;=50),0)</f>
        <v/>
      </c>
      <c r="Y62" s="46">
        <f>IFERROR(--AND(tblHistory[[#This Row],[Score]]&gt;=60,OR(AND(tblHistory[[#This Row],[BIZD S]]&gt;=0.8,tblHistory[[#This Row],[BKLN S]]&gt;=0.5),tblHistory[[#This Row],[CCC S]]&gt;=0.8)),0)</f>
        <v/>
      </c>
      <c r="Z62" s="46">
        <f>IFERROR(--AND(tblHistory[[#This Row],[Score]]&gt;=70,tblHistory[[#This Row],[SOX S]]&gt;=0.83,tblHistory[[#This Row],[AIQ S]]&gt;=0.8),0)</f>
        <v/>
      </c>
      <c r="AA6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">
      <c r="A63" s="42" t="n">
        <v>46238</v>
      </c>
      <c r="B63" s="43" t="n">
        <v>29733.1602</v>
      </c>
      <c r="C63" s="43" t="n">
        <v>12179.2598</v>
      </c>
      <c r="D63" s="43" t="n">
        <v>63.13</v>
      </c>
      <c r="E63" s="43" t="n">
        <v>28.69</v>
      </c>
      <c r="F63" s="44" t="n">
        <v>97</v>
      </c>
      <c r="G63" s="44" t="n">
        <v>1019</v>
      </c>
      <c r="H63" s="43" t="n">
        <v>12.5206</v>
      </c>
      <c r="I63" s="43" t="n">
        <v>20.1098</v>
      </c>
      <c r="J63" s="44" t="n">
        <v>273</v>
      </c>
      <c r="K6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" s="46">
        <f>(Dashboard!$C$13*tblHistory[[#This Row],[NDX S]]+Dashboard!$C$14*tblHistory[[#This Row],[SOX S]]+Dashboard!$C$15*tblHistory[[#This Row],[AIQ S]])/(Dashboard!$C$13+Dashboard!$C$14+Dashboard!$C$15)*100</f>
        <v/>
      </c>
      <c r="U63" s="46">
        <f>(Dashboard!$C$16*tblHistory[[#This Row],[DTCR S]]+Dashboard!$C$17*tblHistory[[#This Row],[BBB S]]+Dashboard!$C$18*tblHistory[[#This Row],[CCC S]])/(Dashboard!$C$16+Dashboard!$C$17+Dashboard!$C$18)*100</f>
        <v/>
      </c>
      <c r="V63" s="46">
        <f>(Dashboard!$C$19*tblHistory[[#This Row],[BIZD S]]+Dashboard!$C$20*tblHistory[[#This Row],[BKLN S]]+Dashboard!$C$21*tblHistory[[#This Row],[HY S]])/(Dashboard!$C$19+Dashboard!$C$20+Dashboard!$C$21)*100</f>
        <v/>
      </c>
      <c r="W6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" s="46">
        <f>IFERROR(--(tblHistory[[#This Row],[Score]]&gt;=50),0)</f>
        <v/>
      </c>
      <c r="Y63" s="46">
        <f>IFERROR(--AND(tblHistory[[#This Row],[Score]]&gt;=60,OR(AND(tblHistory[[#This Row],[BIZD S]]&gt;=0.8,tblHistory[[#This Row],[BKLN S]]&gt;=0.5),tblHistory[[#This Row],[CCC S]]&gt;=0.8)),0)</f>
        <v/>
      </c>
      <c r="Z63" s="46">
        <f>IFERROR(--AND(tblHistory[[#This Row],[Score]]&gt;=70,tblHistory[[#This Row],[SOX S]]&gt;=0.83,tblHistory[[#This Row],[AIQ S]]&gt;=0.8),0)</f>
        <v/>
      </c>
      <c r="AA6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">
      <c r="A64" s="42" t="n">
        <v>46237</v>
      </c>
      <c r="B64" s="43" t="n">
        <v>28776.8008</v>
      </c>
      <c r="C64" s="43" t="n">
        <v>11430.3496</v>
      </c>
      <c r="D64" s="43" t="n">
        <v>60.57</v>
      </c>
      <c r="E64" s="43" t="n">
        <v>27.8</v>
      </c>
      <c r="F64" s="44" t="n">
        <v>97</v>
      </c>
      <c r="G64" s="44" t="n">
        <v>1028</v>
      </c>
      <c r="H64" s="43" t="n">
        <v>12.3081</v>
      </c>
      <c r="I64" s="43" t="n">
        <v>20.0902</v>
      </c>
      <c r="J64" s="44" t="n">
        <v>278</v>
      </c>
      <c r="K6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" s="46">
        <f>(Dashboard!$C$13*tblHistory[[#This Row],[NDX S]]+Dashboard!$C$14*tblHistory[[#This Row],[SOX S]]+Dashboard!$C$15*tblHistory[[#This Row],[AIQ S]])/(Dashboard!$C$13+Dashboard!$C$14+Dashboard!$C$15)*100</f>
        <v/>
      </c>
      <c r="U64" s="46">
        <f>(Dashboard!$C$16*tblHistory[[#This Row],[DTCR S]]+Dashboard!$C$17*tblHistory[[#This Row],[BBB S]]+Dashboard!$C$18*tblHistory[[#This Row],[CCC S]])/(Dashboard!$C$16+Dashboard!$C$17+Dashboard!$C$18)*100</f>
        <v/>
      </c>
      <c r="V64" s="46">
        <f>(Dashboard!$C$19*tblHistory[[#This Row],[BIZD S]]+Dashboard!$C$20*tblHistory[[#This Row],[BKLN S]]+Dashboard!$C$21*tblHistory[[#This Row],[HY S]])/(Dashboard!$C$19+Dashboard!$C$20+Dashboard!$C$21)*100</f>
        <v/>
      </c>
      <c r="W6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" s="46">
        <f>IFERROR(--(tblHistory[[#This Row],[Score]]&gt;=50),0)</f>
        <v/>
      </c>
      <c r="Y64" s="46">
        <f>IFERROR(--AND(tblHistory[[#This Row],[Score]]&gt;=60,OR(AND(tblHistory[[#This Row],[BIZD S]]&gt;=0.8,tblHistory[[#This Row],[BKLN S]]&gt;=0.5),tblHistory[[#This Row],[CCC S]]&gt;=0.8)),0)</f>
        <v/>
      </c>
      <c r="Z64" s="46">
        <f>IFERROR(--AND(tblHistory[[#This Row],[Score]]&gt;=70,tblHistory[[#This Row],[SOX S]]&gt;=0.83,tblHistory[[#This Row],[AIQ S]]&gt;=0.8),0)</f>
        <v/>
      </c>
      <c r="AA6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">
      <c r="A65" s="42" t="n">
        <v>46234</v>
      </c>
      <c r="B65" s="43" t="n">
        <v>28274.1992</v>
      </c>
      <c r="C65" s="43" t="n">
        <v>11311.0801</v>
      </c>
      <c r="D65" s="43" t="n">
        <v>58.89</v>
      </c>
      <c r="E65" s="43" t="n">
        <v>27.44</v>
      </c>
      <c r="F65" s="44" t="n">
        <v>99</v>
      </c>
      <c r="G65" s="44" t="n">
        <v>1034</v>
      </c>
      <c r="H65" s="43" t="n">
        <v>11.9796</v>
      </c>
      <c r="I65" s="43" t="n">
        <v>20.0508</v>
      </c>
      <c r="J65" s="44" t="n">
        <v>285</v>
      </c>
      <c r="K6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" s="46">
        <f>(Dashboard!$C$13*tblHistory[[#This Row],[NDX S]]+Dashboard!$C$14*tblHistory[[#This Row],[SOX S]]+Dashboard!$C$15*tblHistory[[#This Row],[AIQ S]])/(Dashboard!$C$13+Dashboard!$C$14+Dashboard!$C$15)*100</f>
        <v/>
      </c>
      <c r="U65" s="46">
        <f>(Dashboard!$C$16*tblHistory[[#This Row],[DTCR S]]+Dashboard!$C$17*tblHistory[[#This Row],[BBB S]]+Dashboard!$C$18*tblHistory[[#This Row],[CCC S]])/(Dashboard!$C$16+Dashboard!$C$17+Dashboard!$C$18)*100</f>
        <v/>
      </c>
      <c r="V65" s="46">
        <f>(Dashboard!$C$19*tblHistory[[#This Row],[BIZD S]]+Dashboard!$C$20*tblHistory[[#This Row],[BKLN S]]+Dashboard!$C$21*tblHistory[[#This Row],[HY S]])/(Dashboard!$C$19+Dashboard!$C$20+Dashboard!$C$21)*100</f>
        <v/>
      </c>
      <c r="W6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" s="46">
        <f>IFERROR(--(tblHistory[[#This Row],[Score]]&gt;=50),0)</f>
        <v/>
      </c>
      <c r="Y65" s="46">
        <f>IFERROR(--AND(tblHistory[[#This Row],[Score]]&gt;=60,OR(AND(tblHistory[[#This Row],[BIZD S]]&gt;=0.8,tblHistory[[#This Row],[BKLN S]]&gt;=0.5),tblHistory[[#This Row],[CCC S]]&gt;=0.8)),0)</f>
        <v/>
      </c>
      <c r="Z65" s="46">
        <f>IFERROR(--AND(tblHistory[[#This Row],[Score]]&gt;=70,tblHistory[[#This Row],[SOX S]]&gt;=0.83,tblHistory[[#This Row],[AIQ S]]&gt;=0.8),0)</f>
        <v/>
      </c>
      <c r="AA6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">
      <c r="A66" s="42" t="n">
        <v>46233</v>
      </c>
      <c r="B66" s="43" t="n">
        <v>28106.3496</v>
      </c>
      <c r="C66" s="43" t="n">
        <v>11302.9902</v>
      </c>
      <c r="D66" s="43" t="n">
        <v>58.69</v>
      </c>
      <c r="E66" s="43" t="n">
        <v>27.69</v>
      </c>
      <c r="F66" s="44" t="n">
        <v>99</v>
      </c>
      <c r="G66" s="44" t="n">
        <v>1006</v>
      </c>
      <c r="H66" s="43" t="n">
        <v>11.9989</v>
      </c>
      <c r="I66" s="43" t="n">
        <v>20.041</v>
      </c>
      <c r="J66" s="44" t="n">
        <v>284</v>
      </c>
      <c r="K6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" s="46">
        <f>(Dashboard!$C$13*tblHistory[[#This Row],[NDX S]]+Dashboard!$C$14*tblHistory[[#This Row],[SOX S]]+Dashboard!$C$15*tblHistory[[#This Row],[AIQ S]])/(Dashboard!$C$13+Dashboard!$C$14+Dashboard!$C$15)*100</f>
        <v/>
      </c>
      <c r="U66" s="46">
        <f>(Dashboard!$C$16*tblHistory[[#This Row],[DTCR S]]+Dashboard!$C$17*tblHistory[[#This Row],[BBB S]]+Dashboard!$C$18*tblHistory[[#This Row],[CCC S]])/(Dashboard!$C$16+Dashboard!$C$17+Dashboard!$C$18)*100</f>
        <v/>
      </c>
      <c r="V66" s="46">
        <f>(Dashboard!$C$19*tblHistory[[#This Row],[BIZD S]]+Dashboard!$C$20*tblHistory[[#This Row],[BKLN S]]+Dashboard!$C$21*tblHistory[[#This Row],[HY S]])/(Dashboard!$C$19+Dashboard!$C$20+Dashboard!$C$21)*100</f>
        <v/>
      </c>
      <c r="W6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" s="46">
        <f>IFERROR(--(tblHistory[[#This Row],[Score]]&gt;=50),0)</f>
        <v/>
      </c>
      <c r="Y66" s="46">
        <f>IFERROR(--AND(tblHistory[[#This Row],[Score]]&gt;=60,OR(AND(tblHistory[[#This Row],[BIZD S]]&gt;=0.8,tblHistory[[#This Row],[BKLN S]]&gt;=0.5),tblHistory[[#This Row],[CCC S]]&gt;=0.8)),0)</f>
        <v/>
      </c>
      <c r="Z66" s="46">
        <f>IFERROR(--AND(tblHistory[[#This Row],[Score]]&gt;=70,tblHistory[[#This Row],[SOX S]]&gt;=0.83,tblHistory[[#This Row],[AIQ S]]&gt;=0.8),0)</f>
        <v/>
      </c>
      <c r="AA6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">
      <c r="A67" s="42" t="n">
        <v>46232</v>
      </c>
      <c r="B67" s="43" t="n">
        <v>27192.3105</v>
      </c>
      <c r="C67" s="43" t="n">
        <v>10447.4902</v>
      </c>
      <c r="D67" s="43" t="n">
        <v>55.98</v>
      </c>
      <c r="E67" s="43" t="n">
        <v>26.56</v>
      </c>
      <c r="F67" s="44" t="n">
        <v>100</v>
      </c>
      <c r="G67" s="44" t="n">
        <v>1013</v>
      </c>
      <c r="H67" s="43" t="n">
        <v>12.0279</v>
      </c>
      <c r="I67" s="43" t="n">
        <v>20.0312</v>
      </c>
      <c r="J67" s="44" t="n">
        <v>287</v>
      </c>
      <c r="K6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" s="46">
        <f>(Dashboard!$C$13*tblHistory[[#This Row],[NDX S]]+Dashboard!$C$14*tblHistory[[#This Row],[SOX S]]+Dashboard!$C$15*tblHistory[[#This Row],[AIQ S]])/(Dashboard!$C$13+Dashboard!$C$14+Dashboard!$C$15)*100</f>
        <v/>
      </c>
      <c r="U67" s="46">
        <f>(Dashboard!$C$16*tblHistory[[#This Row],[DTCR S]]+Dashboard!$C$17*tblHistory[[#This Row],[BBB S]]+Dashboard!$C$18*tblHistory[[#This Row],[CCC S]])/(Dashboard!$C$16+Dashboard!$C$17+Dashboard!$C$18)*100</f>
        <v/>
      </c>
      <c r="V67" s="46">
        <f>(Dashboard!$C$19*tblHistory[[#This Row],[BIZD S]]+Dashboard!$C$20*tblHistory[[#This Row],[BKLN S]]+Dashboard!$C$21*tblHistory[[#This Row],[HY S]])/(Dashboard!$C$19+Dashboard!$C$20+Dashboard!$C$21)*100</f>
        <v/>
      </c>
      <c r="W6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" s="46">
        <f>IFERROR(--(tblHistory[[#This Row],[Score]]&gt;=50),0)</f>
        <v/>
      </c>
      <c r="Y67" s="46">
        <f>IFERROR(--AND(tblHistory[[#This Row],[Score]]&gt;=60,OR(AND(tblHistory[[#This Row],[BIZD S]]&gt;=0.8,tblHistory[[#This Row],[BKLN S]]&gt;=0.5),tblHistory[[#This Row],[CCC S]]&gt;=0.8)),0)</f>
        <v/>
      </c>
      <c r="Z67" s="46">
        <f>IFERROR(--AND(tblHistory[[#This Row],[Score]]&gt;=70,tblHistory[[#This Row],[SOX S]]&gt;=0.83,tblHistory[[#This Row],[AIQ S]]&gt;=0.8),0)</f>
        <v/>
      </c>
      <c r="AA6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">
      <c r="A68" s="42" t="n">
        <v>46231</v>
      </c>
      <c r="B68" s="43" t="n">
        <v>27763.1309</v>
      </c>
      <c r="C68" s="43" t="n">
        <v>11035.6797</v>
      </c>
      <c r="D68" s="43" t="n">
        <v>57.24</v>
      </c>
      <c r="E68" s="43" t="n">
        <v>27.21</v>
      </c>
      <c r="F68" s="44" t="n">
        <v>100</v>
      </c>
      <c r="G68" s="44" t="n">
        <v>1005</v>
      </c>
      <c r="H68" s="43" t="n">
        <v>12.2211</v>
      </c>
      <c r="I68" s="43" t="n">
        <v>20.0607</v>
      </c>
      <c r="J68" s="44" t="n">
        <v>284</v>
      </c>
      <c r="K6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" s="46">
        <f>(Dashboard!$C$13*tblHistory[[#This Row],[NDX S]]+Dashboard!$C$14*tblHistory[[#This Row],[SOX S]]+Dashboard!$C$15*tblHistory[[#This Row],[AIQ S]])/(Dashboard!$C$13+Dashboard!$C$14+Dashboard!$C$15)*100</f>
        <v/>
      </c>
      <c r="U68" s="46">
        <f>(Dashboard!$C$16*tblHistory[[#This Row],[DTCR S]]+Dashboard!$C$17*tblHistory[[#This Row],[BBB S]]+Dashboard!$C$18*tblHistory[[#This Row],[CCC S]])/(Dashboard!$C$16+Dashboard!$C$17+Dashboard!$C$18)*100</f>
        <v/>
      </c>
      <c r="V68" s="46">
        <f>(Dashboard!$C$19*tblHistory[[#This Row],[BIZD S]]+Dashboard!$C$20*tblHistory[[#This Row],[BKLN S]]+Dashboard!$C$21*tblHistory[[#This Row],[HY S]])/(Dashboard!$C$19+Dashboard!$C$20+Dashboard!$C$21)*100</f>
        <v/>
      </c>
      <c r="W6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" s="46">
        <f>IFERROR(--(tblHistory[[#This Row],[Score]]&gt;=50),0)</f>
        <v/>
      </c>
      <c r="Y68" s="46">
        <f>IFERROR(--AND(tblHistory[[#This Row],[Score]]&gt;=60,OR(AND(tblHistory[[#This Row],[BIZD S]]&gt;=0.8,tblHistory[[#This Row],[BKLN S]]&gt;=0.5),tblHistory[[#This Row],[CCC S]]&gt;=0.8)),0)</f>
        <v/>
      </c>
      <c r="Z68" s="46">
        <f>IFERROR(--AND(tblHistory[[#This Row],[Score]]&gt;=70,tblHistory[[#This Row],[SOX S]]&gt;=0.83,tblHistory[[#This Row],[AIQ S]]&gt;=0.8),0)</f>
        <v/>
      </c>
      <c r="AA6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">
      <c r="A69" s="42" t="n">
        <v>46230</v>
      </c>
      <c r="B69" s="43" t="n">
        <v>28039.2109</v>
      </c>
      <c r="C69" s="43" t="n">
        <v>11554.8799</v>
      </c>
      <c r="D69" s="43" t="n">
        <v>58.3</v>
      </c>
      <c r="E69" s="43" t="n">
        <v>27.69</v>
      </c>
      <c r="F69" s="44" t="n">
        <v>100</v>
      </c>
      <c r="G69" s="44" t="n">
        <v>1001</v>
      </c>
      <c r="H69" s="43" t="n">
        <v>12.0376</v>
      </c>
      <c r="I69" s="43" t="n">
        <v>20.0508</v>
      </c>
      <c r="J69" s="44" t="n">
        <v>281</v>
      </c>
      <c r="K6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" s="46">
        <f>(Dashboard!$C$13*tblHistory[[#This Row],[NDX S]]+Dashboard!$C$14*tblHistory[[#This Row],[SOX S]]+Dashboard!$C$15*tblHistory[[#This Row],[AIQ S]])/(Dashboard!$C$13+Dashboard!$C$14+Dashboard!$C$15)*100</f>
        <v/>
      </c>
      <c r="U69" s="46">
        <f>(Dashboard!$C$16*tblHistory[[#This Row],[DTCR S]]+Dashboard!$C$17*tblHistory[[#This Row],[BBB S]]+Dashboard!$C$18*tblHistory[[#This Row],[CCC S]])/(Dashboard!$C$16+Dashboard!$C$17+Dashboard!$C$18)*100</f>
        <v/>
      </c>
      <c r="V69" s="46">
        <f>(Dashboard!$C$19*tblHistory[[#This Row],[BIZD S]]+Dashboard!$C$20*tblHistory[[#This Row],[BKLN S]]+Dashboard!$C$21*tblHistory[[#This Row],[HY S]])/(Dashboard!$C$19+Dashboard!$C$20+Dashboard!$C$21)*100</f>
        <v/>
      </c>
      <c r="W6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" s="46">
        <f>IFERROR(--(tblHistory[[#This Row],[Score]]&gt;=50),0)</f>
        <v/>
      </c>
      <c r="Y69" s="46">
        <f>IFERROR(--AND(tblHistory[[#This Row],[Score]]&gt;=60,OR(AND(tblHistory[[#This Row],[BIZD S]]&gt;=0.8,tblHistory[[#This Row],[BKLN S]]&gt;=0.5),tblHistory[[#This Row],[CCC S]]&gt;=0.8)),0)</f>
        <v/>
      </c>
      <c r="Z69" s="46">
        <f>IFERROR(--AND(tblHistory[[#This Row],[Score]]&gt;=70,tblHistory[[#This Row],[SOX S]]&gt;=0.83,tblHistory[[#This Row],[AIQ S]]&gt;=0.8),0)</f>
        <v/>
      </c>
      <c r="AA6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">
      <c r="A70" s="42" t="n">
        <v>46227</v>
      </c>
      <c r="B70" s="43" t="n">
        <v>28128.3398</v>
      </c>
      <c r="C70" s="43" t="n">
        <v>11818.8799</v>
      </c>
      <c r="D70" s="43" t="n">
        <v>57.98</v>
      </c>
      <c r="E70" s="43" t="n">
        <v>28.11</v>
      </c>
      <c r="F70" s="44" t="n">
        <v>99</v>
      </c>
      <c r="G70" s="44" t="n">
        <v>996</v>
      </c>
      <c r="H70" s="43" t="n">
        <v>11.9216</v>
      </c>
      <c r="I70" s="43" t="n">
        <v>20.0508</v>
      </c>
      <c r="J70" s="44" t="n">
        <v>279</v>
      </c>
      <c r="K7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" s="46">
        <f>(Dashboard!$C$13*tblHistory[[#This Row],[NDX S]]+Dashboard!$C$14*tblHistory[[#This Row],[SOX S]]+Dashboard!$C$15*tblHistory[[#This Row],[AIQ S]])/(Dashboard!$C$13+Dashboard!$C$14+Dashboard!$C$15)*100</f>
        <v/>
      </c>
      <c r="U70" s="46">
        <f>(Dashboard!$C$16*tblHistory[[#This Row],[DTCR S]]+Dashboard!$C$17*tblHistory[[#This Row],[BBB S]]+Dashboard!$C$18*tblHistory[[#This Row],[CCC S]])/(Dashboard!$C$16+Dashboard!$C$17+Dashboard!$C$18)*100</f>
        <v/>
      </c>
      <c r="V70" s="46">
        <f>(Dashboard!$C$19*tblHistory[[#This Row],[BIZD S]]+Dashboard!$C$20*tblHistory[[#This Row],[BKLN S]]+Dashboard!$C$21*tblHistory[[#This Row],[HY S]])/(Dashboard!$C$19+Dashboard!$C$20+Dashboard!$C$21)*100</f>
        <v/>
      </c>
      <c r="W7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" s="46">
        <f>IFERROR(--(tblHistory[[#This Row],[Score]]&gt;=50),0)</f>
        <v/>
      </c>
      <c r="Y70" s="46">
        <f>IFERROR(--AND(tblHistory[[#This Row],[Score]]&gt;=60,OR(AND(tblHistory[[#This Row],[BIZD S]]&gt;=0.8,tblHistory[[#This Row],[BKLN S]]&gt;=0.5),tblHistory[[#This Row],[CCC S]]&gt;=0.8)),0)</f>
        <v/>
      </c>
      <c r="Z70" s="46">
        <f>IFERROR(--AND(tblHistory[[#This Row],[Score]]&gt;=70,tblHistory[[#This Row],[SOX S]]&gt;=0.83,tblHistory[[#This Row],[AIQ S]]&gt;=0.8),0)</f>
        <v/>
      </c>
      <c r="AA7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">
      <c r="A71" s="42" t="n">
        <v>46226</v>
      </c>
      <c r="B71" s="43" t="n">
        <v>28454.8105</v>
      </c>
      <c r="C71" s="43" t="n">
        <v>12343.8398</v>
      </c>
      <c r="D71" s="43" t="n">
        <v>59.33</v>
      </c>
      <c r="E71" s="43" t="n">
        <v>28.28</v>
      </c>
      <c r="F71" s="44" t="n">
        <v>98</v>
      </c>
      <c r="G71" s="44" t="n">
        <v>991</v>
      </c>
      <c r="H71" s="43" t="n">
        <v>11.883</v>
      </c>
      <c r="I71" s="43" t="n">
        <v>20.0312</v>
      </c>
      <c r="J71" s="44" t="n">
        <v>277</v>
      </c>
      <c r="K7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" s="46">
        <f>(Dashboard!$C$13*tblHistory[[#This Row],[NDX S]]+Dashboard!$C$14*tblHistory[[#This Row],[SOX S]]+Dashboard!$C$15*tblHistory[[#This Row],[AIQ S]])/(Dashboard!$C$13+Dashboard!$C$14+Dashboard!$C$15)*100</f>
        <v/>
      </c>
      <c r="U71" s="46">
        <f>(Dashboard!$C$16*tblHistory[[#This Row],[DTCR S]]+Dashboard!$C$17*tblHistory[[#This Row],[BBB S]]+Dashboard!$C$18*tblHistory[[#This Row],[CCC S]])/(Dashboard!$C$16+Dashboard!$C$17+Dashboard!$C$18)*100</f>
        <v/>
      </c>
      <c r="V71" s="46">
        <f>(Dashboard!$C$19*tblHistory[[#This Row],[BIZD S]]+Dashboard!$C$20*tblHistory[[#This Row],[BKLN S]]+Dashboard!$C$21*tblHistory[[#This Row],[HY S]])/(Dashboard!$C$19+Dashboard!$C$20+Dashboard!$C$21)*100</f>
        <v/>
      </c>
      <c r="W7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" s="46">
        <f>IFERROR(--(tblHistory[[#This Row],[Score]]&gt;=50),0)</f>
        <v/>
      </c>
      <c r="Y71" s="46">
        <f>IFERROR(--AND(tblHistory[[#This Row],[Score]]&gt;=60,OR(AND(tblHistory[[#This Row],[BIZD S]]&gt;=0.8,tblHistory[[#This Row],[BKLN S]]&gt;=0.5),tblHistory[[#This Row],[CCC S]]&gt;=0.8)),0)</f>
        <v/>
      </c>
      <c r="Z71" s="46">
        <f>IFERROR(--AND(tblHistory[[#This Row],[Score]]&gt;=70,tblHistory[[#This Row],[SOX S]]&gt;=0.83,tblHistory[[#This Row],[AIQ S]]&gt;=0.8),0)</f>
        <v/>
      </c>
      <c r="AA7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">
      <c r="A72" s="42" t="n">
        <v>46225</v>
      </c>
      <c r="B72" s="43" t="n">
        <v>28998.0996</v>
      </c>
      <c r="C72" s="43" t="n">
        <v>12410.6699</v>
      </c>
      <c r="D72" s="43" t="n">
        <v>60.14</v>
      </c>
      <c r="E72" s="43" t="n">
        <v>28.5</v>
      </c>
      <c r="F72" s="44" t="n">
        <v>96</v>
      </c>
      <c r="G72" s="44" t="n">
        <v>981</v>
      </c>
      <c r="H72" s="43" t="n">
        <v>12.0376</v>
      </c>
      <c r="I72" s="43" t="n">
        <v>20.041</v>
      </c>
      <c r="J72" s="44" t="n">
        <v>268</v>
      </c>
      <c r="K7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" s="46">
        <f>(Dashboard!$C$13*tblHistory[[#This Row],[NDX S]]+Dashboard!$C$14*tblHistory[[#This Row],[SOX S]]+Dashboard!$C$15*tblHistory[[#This Row],[AIQ S]])/(Dashboard!$C$13+Dashboard!$C$14+Dashboard!$C$15)*100</f>
        <v/>
      </c>
      <c r="U72" s="46">
        <f>(Dashboard!$C$16*tblHistory[[#This Row],[DTCR S]]+Dashboard!$C$17*tblHistory[[#This Row],[BBB S]]+Dashboard!$C$18*tblHistory[[#This Row],[CCC S]])/(Dashboard!$C$16+Dashboard!$C$17+Dashboard!$C$18)*100</f>
        <v/>
      </c>
      <c r="V72" s="46">
        <f>(Dashboard!$C$19*tblHistory[[#This Row],[BIZD S]]+Dashboard!$C$20*tblHistory[[#This Row],[BKLN S]]+Dashboard!$C$21*tblHistory[[#This Row],[HY S]])/(Dashboard!$C$19+Dashboard!$C$20+Dashboard!$C$21)*100</f>
        <v/>
      </c>
      <c r="W7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" s="46">
        <f>IFERROR(--(tblHistory[[#This Row],[Score]]&gt;=50),0)</f>
        <v/>
      </c>
      <c r="Y72" s="46">
        <f>IFERROR(--AND(tblHistory[[#This Row],[Score]]&gt;=60,OR(AND(tblHistory[[#This Row],[BIZD S]]&gt;=0.8,tblHistory[[#This Row],[BKLN S]]&gt;=0.5),tblHistory[[#This Row],[CCC S]]&gt;=0.8)),0)</f>
        <v/>
      </c>
      <c r="Z72" s="46">
        <f>IFERROR(--AND(tblHistory[[#This Row],[Score]]&gt;=70,tblHistory[[#This Row],[SOX S]]&gt;=0.83,tblHistory[[#This Row],[AIQ S]]&gt;=0.8),0)</f>
        <v/>
      </c>
      <c r="AA7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">
      <c r="A73" s="42" t="n">
        <v>46224</v>
      </c>
      <c r="B73" s="43" t="n">
        <v>29155.1797</v>
      </c>
      <c r="C73" s="43" t="n">
        <v>12356.1602</v>
      </c>
      <c r="D73" s="43" t="n">
        <v>61</v>
      </c>
      <c r="E73" s="43" t="n">
        <v>28.31</v>
      </c>
      <c r="F73" s="44" t="n">
        <v>97</v>
      </c>
      <c r="G73" s="44" t="n">
        <v>978</v>
      </c>
      <c r="H73" s="43" t="n">
        <v>12.1632</v>
      </c>
      <c r="I73" s="43" t="n">
        <v>20.0508</v>
      </c>
      <c r="J73" s="44" t="n">
        <v>269</v>
      </c>
      <c r="K7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" s="46">
        <f>(Dashboard!$C$13*tblHistory[[#This Row],[NDX S]]+Dashboard!$C$14*tblHistory[[#This Row],[SOX S]]+Dashboard!$C$15*tblHistory[[#This Row],[AIQ S]])/(Dashboard!$C$13+Dashboard!$C$14+Dashboard!$C$15)*100</f>
        <v/>
      </c>
      <c r="U73" s="46">
        <f>(Dashboard!$C$16*tblHistory[[#This Row],[DTCR S]]+Dashboard!$C$17*tblHistory[[#This Row],[BBB S]]+Dashboard!$C$18*tblHistory[[#This Row],[CCC S]])/(Dashboard!$C$16+Dashboard!$C$17+Dashboard!$C$18)*100</f>
        <v/>
      </c>
      <c r="V73" s="46">
        <f>(Dashboard!$C$19*tblHistory[[#This Row],[BIZD S]]+Dashboard!$C$20*tblHistory[[#This Row],[BKLN S]]+Dashboard!$C$21*tblHistory[[#This Row],[HY S]])/(Dashboard!$C$19+Dashboard!$C$20+Dashboard!$C$21)*100</f>
        <v/>
      </c>
      <c r="W7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" s="46">
        <f>IFERROR(--(tblHistory[[#This Row],[Score]]&gt;=50),0)</f>
        <v/>
      </c>
      <c r="Y73" s="46">
        <f>IFERROR(--AND(tblHistory[[#This Row],[Score]]&gt;=60,OR(AND(tblHistory[[#This Row],[BIZD S]]&gt;=0.8,tblHistory[[#This Row],[BKLN S]]&gt;=0.5),tblHistory[[#This Row],[CCC S]]&gt;=0.8)),0)</f>
        <v/>
      </c>
      <c r="Z73" s="46">
        <f>IFERROR(--AND(tblHistory[[#This Row],[Score]]&gt;=70,tblHistory[[#This Row],[SOX S]]&gt;=0.83,tblHistory[[#This Row],[AIQ S]]&gt;=0.8),0)</f>
        <v/>
      </c>
      <c r="AA7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">
      <c r="A74" s="42" t="n">
        <v>46223</v>
      </c>
      <c r="B74" s="43" t="n">
        <v>28604.2305</v>
      </c>
      <c r="C74" s="43" t="n">
        <v>11743.8496</v>
      </c>
      <c r="D74" s="43" t="n">
        <v>59.14</v>
      </c>
      <c r="E74" s="43" t="n">
        <v>27.6</v>
      </c>
      <c r="F74" s="44" t="n">
        <v>97</v>
      </c>
      <c r="G74" s="44" t="n">
        <v>977</v>
      </c>
      <c r="H74" s="43" t="n">
        <v>12.1438</v>
      </c>
      <c r="I74" s="43" t="n">
        <v>20.0508</v>
      </c>
      <c r="J74" s="44" t="n">
        <v>269</v>
      </c>
      <c r="K7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" s="46">
        <f>(Dashboard!$C$13*tblHistory[[#This Row],[NDX S]]+Dashboard!$C$14*tblHistory[[#This Row],[SOX S]]+Dashboard!$C$15*tblHistory[[#This Row],[AIQ S]])/(Dashboard!$C$13+Dashboard!$C$14+Dashboard!$C$15)*100</f>
        <v/>
      </c>
      <c r="U74" s="46">
        <f>(Dashboard!$C$16*tblHistory[[#This Row],[DTCR S]]+Dashboard!$C$17*tblHistory[[#This Row],[BBB S]]+Dashboard!$C$18*tblHistory[[#This Row],[CCC S]])/(Dashboard!$C$16+Dashboard!$C$17+Dashboard!$C$18)*100</f>
        <v/>
      </c>
      <c r="V74" s="46">
        <f>(Dashboard!$C$19*tblHistory[[#This Row],[BIZD S]]+Dashboard!$C$20*tblHistory[[#This Row],[BKLN S]]+Dashboard!$C$21*tblHistory[[#This Row],[HY S]])/(Dashboard!$C$19+Dashboard!$C$20+Dashboard!$C$21)*100</f>
        <v/>
      </c>
      <c r="W7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" s="46">
        <f>IFERROR(--(tblHistory[[#This Row],[Score]]&gt;=50),0)</f>
        <v/>
      </c>
      <c r="Y74" s="46">
        <f>IFERROR(--AND(tblHistory[[#This Row],[Score]]&gt;=60,OR(AND(tblHistory[[#This Row],[BIZD S]]&gt;=0.8,tblHistory[[#This Row],[BKLN S]]&gt;=0.5),tblHistory[[#This Row],[CCC S]]&gt;=0.8)),0)</f>
        <v/>
      </c>
      <c r="Z74" s="46">
        <f>IFERROR(--AND(tblHistory[[#This Row],[Score]]&gt;=70,tblHistory[[#This Row],[SOX S]]&gt;=0.83,tblHistory[[#This Row],[AIQ S]]&gt;=0.8),0)</f>
        <v/>
      </c>
      <c r="AA7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5">
      <c r="A75" s="42" t="n">
        <v>46220</v>
      </c>
      <c r="B75" s="43" t="n">
        <v>28592.6602</v>
      </c>
      <c r="C75" s="43" t="n">
        <v>11673.8896</v>
      </c>
      <c r="D75" s="43" t="n">
        <v>58.7</v>
      </c>
      <c r="E75" s="43" t="n">
        <v>27.4</v>
      </c>
      <c r="F75" s="44" t="n">
        <v>97</v>
      </c>
      <c r="G75" s="44" t="n">
        <v>975</v>
      </c>
      <c r="H75" s="43" t="n">
        <v>12.2888</v>
      </c>
      <c r="I75" s="43" t="n">
        <v>20.0322</v>
      </c>
      <c r="J75" s="44" t="n">
        <v>273</v>
      </c>
      <c r="K7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5" s="46">
        <f>(Dashboard!$C$13*tblHistory[[#This Row],[NDX S]]+Dashboard!$C$14*tblHistory[[#This Row],[SOX S]]+Dashboard!$C$15*tblHistory[[#This Row],[AIQ S]])/(Dashboard!$C$13+Dashboard!$C$14+Dashboard!$C$15)*100</f>
        <v/>
      </c>
      <c r="U75" s="46">
        <f>(Dashboard!$C$16*tblHistory[[#This Row],[DTCR S]]+Dashboard!$C$17*tblHistory[[#This Row],[BBB S]]+Dashboard!$C$18*tblHistory[[#This Row],[CCC S]])/(Dashboard!$C$16+Dashboard!$C$17+Dashboard!$C$18)*100</f>
        <v/>
      </c>
      <c r="V75" s="46">
        <f>(Dashboard!$C$19*tblHistory[[#This Row],[BIZD S]]+Dashboard!$C$20*tblHistory[[#This Row],[BKLN S]]+Dashboard!$C$21*tblHistory[[#This Row],[HY S]])/(Dashboard!$C$19+Dashboard!$C$20+Dashboard!$C$21)*100</f>
        <v/>
      </c>
      <c r="W7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5" s="46">
        <f>IFERROR(--(tblHistory[[#This Row],[Score]]&gt;=50),0)</f>
        <v/>
      </c>
      <c r="Y75" s="46">
        <f>IFERROR(--AND(tblHistory[[#This Row],[Score]]&gt;=60,OR(AND(tblHistory[[#This Row],[BIZD S]]&gt;=0.8,tblHistory[[#This Row],[BKLN S]]&gt;=0.5),tblHistory[[#This Row],[CCC S]]&gt;=0.8)),0)</f>
        <v/>
      </c>
      <c r="Z75" s="46">
        <f>IFERROR(--AND(tblHistory[[#This Row],[Score]]&gt;=70,tblHistory[[#This Row],[SOX S]]&gt;=0.83,tblHistory[[#This Row],[AIQ S]]&gt;=0.8),0)</f>
        <v/>
      </c>
      <c r="AA7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6">
      <c r="A76" s="42" t="n">
        <v>46219</v>
      </c>
      <c r="B76" s="43" t="n">
        <v>29025.7695</v>
      </c>
      <c r="C76" s="43" t="n">
        <v>11867.5</v>
      </c>
      <c r="D76" s="43" t="n">
        <v>59.31</v>
      </c>
      <c r="E76" s="43" t="n">
        <v>27.54</v>
      </c>
      <c r="F76" s="44" t="n">
        <v>96</v>
      </c>
      <c r="G76" s="44" t="n">
        <v>970</v>
      </c>
      <c r="H76" s="43" t="n">
        <v>12.424</v>
      </c>
      <c r="I76" s="43" t="n">
        <v>20.0224</v>
      </c>
      <c r="J76" s="44" t="n">
        <v>271</v>
      </c>
      <c r="K7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6" s="46">
        <f>(Dashboard!$C$13*tblHistory[[#This Row],[NDX S]]+Dashboard!$C$14*tblHistory[[#This Row],[SOX S]]+Dashboard!$C$15*tblHistory[[#This Row],[AIQ S]])/(Dashboard!$C$13+Dashboard!$C$14+Dashboard!$C$15)*100</f>
        <v/>
      </c>
      <c r="U76" s="46">
        <f>(Dashboard!$C$16*tblHistory[[#This Row],[DTCR S]]+Dashboard!$C$17*tblHistory[[#This Row],[BBB S]]+Dashboard!$C$18*tblHistory[[#This Row],[CCC S]])/(Dashboard!$C$16+Dashboard!$C$17+Dashboard!$C$18)*100</f>
        <v/>
      </c>
      <c r="V76" s="46">
        <f>(Dashboard!$C$19*tblHistory[[#This Row],[BIZD S]]+Dashboard!$C$20*tblHistory[[#This Row],[BKLN S]]+Dashboard!$C$21*tblHistory[[#This Row],[HY S]])/(Dashboard!$C$19+Dashboard!$C$20+Dashboard!$C$21)*100</f>
        <v/>
      </c>
      <c r="W7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6" s="46">
        <f>IFERROR(--(tblHistory[[#This Row],[Score]]&gt;=50),0)</f>
        <v/>
      </c>
      <c r="Y76" s="46">
        <f>IFERROR(--AND(tblHistory[[#This Row],[Score]]&gt;=60,OR(AND(tblHistory[[#This Row],[BIZD S]]&gt;=0.8,tblHistory[[#This Row],[BKLN S]]&gt;=0.5),tblHistory[[#This Row],[CCC S]]&gt;=0.8)),0)</f>
        <v/>
      </c>
      <c r="Z76" s="46">
        <f>IFERROR(--AND(tblHistory[[#This Row],[Score]]&gt;=70,tblHistory[[#This Row],[SOX S]]&gt;=0.83,tblHistory[[#This Row],[AIQ S]]&gt;=0.8),0)</f>
        <v/>
      </c>
      <c r="AA7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7">
      <c r="A77" s="42" t="n">
        <v>46218</v>
      </c>
      <c r="B77" s="43" t="n">
        <v>29502.5996</v>
      </c>
      <c r="C77" s="43" t="n">
        <v>12398.8896</v>
      </c>
      <c r="D77" s="43" t="n">
        <v>61.12</v>
      </c>
      <c r="E77" s="43" t="n">
        <v>28.32</v>
      </c>
      <c r="F77" s="44" t="n">
        <v>97</v>
      </c>
      <c r="G77" s="44" t="n">
        <v>969</v>
      </c>
      <c r="H77" s="43" t="n">
        <v>12.2405</v>
      </c>
      <c r="I77" s="43" t="n">
        <v>20.0224</v>
      </c>
      <c r="J77" s="44" t="n">
        <v>271</v>
      </c>
      <c r="K7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7" s="46">
        <f>(Dashboard!$C$13*tblHistory[[#This Row],[NDX S]]+Dashboard!$C$14*tblHistory[[#This Row],[SOX S]]+Dashboard!$C$15*tblHistory[[#This Row],[AIQ S]])/(Dashboard!$C$13+Dashboard!$C$14+Dashboard!$C$15)*100</f>
        <v/>
      </c>
      <c r="U77" s="46">
        <f>(Dashboard!$C$16*tblHistory[[#This Row],[DTCR S]]+Dashboard!$C$17*tblHistory[[#This Row],[BBB S]]+Dashboard!$C$18*tblHistory[[#This Row],[CCC S]])/(Dashboard!$C$16+Dashboard!$C$17+Dashboard!$C$18)*100</f>
        <v/>
      </c>
      <c r="V77" s="46">
        <f>(Dashboard!$C$19*tblHistory[[#This Row],[BIZD S]]+Dashboard!$C$20*tblHistory[[#This Row],[BKLN S]]+Dashboard!$C$21*tblHistory[[#This Row],[HY S]])/(Dashboard!$C$19+Dashboard!$C$20+Dashboard!$C$21)*100</f>
        <v/>
      </c>
      <c r="W7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7" s="46">
        <f>IFERROR(--(tblHistory[[#This Row],[Score]]&gt;=50),0)</f>
        <v/>
      </c>
      <c r="Y77" s="46">
        <f>IFERROR(--AND(tblHistory[[#This Row],[Score]]&gt;=60,OR(AND(tblHistory[[#This Row],[BIZD S]]&gt;=0.8,tblHistory[[#This Row],[BKLN S]]&gt;=0.5),tblHistory[[#This Row],[CCC S]]&gt;=0.8)),0)</f>
        <v/>
      </c>
      <c r="Z77" s="46">
        <f>IFERROR(--AND(tblHistory[[#This Row],[Score]]&gt;=70,tblHistory[[#This Row],[SOX S]]&gt;=0.83,tblHistory[[#This Row],[AIQ S]]&gt;=0.8),0)</f>
        <v/>
      </c>
      <c r="AA7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8">
      <c r="A78" s="42" t="n">
        <v>46217</v>
      </c>
      <c r="B78" s="43" t="n">
        <v>29586.2891</v>
      </c>
      <c r="C78" s="43" t="n">
        <v>12661.9297</v>
      </c>
      <c r="D78" s="43" t="n">
        <v>61.96</v>
      </c>
      <c r="E78" s="43" t="n">
        <v>28.53</v>
      </c>
      <c r="F78" s="44" t="n">
        <v>97</v>
      </c>
      <c r="G78" s="44" t="n">
        <v>973</v>
      </c>
      <c r="H78" s="43" t="n">
        <v>12.1342</v>
      </c>
      <c r="I78" s="43" t="n">
        <v>20.0126</v>
      </c>
      <c r="J78" s="44" t="n">
        <v>272</v>
      </c>
      <c r="K7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8" s="46">
        <f>(Dashboard!$C$13*tblHistory[[#This Row],[NDX S]]+Dashboard!$C$14*tblHistory[[#This Row],[SOX S]]+Dashboard!$C$15*tblHistory[[#This Row],[AIQ S]])/(Dashboard!$C$13+Dashboard!$C$14+Dashboard!$C$15)*100</f>
        <v/>
      </c>
      <c r="U78" s="46">
        <f>(Dashboard!$C$16*tblHistory[[#This Row],[DTCR S]]+Dashboard!$C$17*tblHistory[[#This Row],[BBB S]]+Dashboard!$C$18*tblHistory[[#This Row],[CCC S]])/(Dashboard!$C$16+Dashboard!$C$17+Dashboard!$C$18)*100</f>
        <v/>
      </c>
      <c r="V78" s="46">
        <f>(Dashboard!$C$19*tblHistory[[#This Row],[BIZD S]]+Dashboard!$C$20*tblHistory[[#This Row],[BKLN S]]+Dashboard!$C$21*tblHistory[[#This Row],[HY S]])/(Dashboard!$C$19+Dashboard!$C$20+Dashboard!$C$21)*100</f>
        <v/>
      </c>
      <c r="W7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8" s="46">
        <f>IFERROR(--(tblHistory[[#This Row],[Score]]&gt;=50),0)</f>
        <v/>
      </c>
      <c r="Y78" s="46">
        <f>IFERROR(--AND(tblHistory[[#This Row],[Score]]&gt;=60,OR(AND(tblHistory[[#This Row],[BIZD S]]&gt;=0.8,tblHistory[[#This Row],[BKLN S]]&gt;=0.5),tblHistory[[#This Row],[CCC S]]&gt;=0.8)),0)</f>
        <v/>
      </c>
      <c r="Z78" s="46">
        <f>IFERROR(--AND(tblHistory[[#This Row],[Score]]&gt;=70,tblHistory[[#This Row],[SOX S]]&gt;=0.83,tblHistory[[#This Row],[AIQ S]]&gt;=0.8),0)</f>
        <v/>
      </c>
      <c r="AA7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9">
      <c r="A79" s="42" t="n">
        <v>46216</v>
      </c>
      <c r="B79" s="43" t="n">
        <v>29264.0996</v>
      </c>
      <c r="C79" s="43" t="n">
        <v>12347.7803</v>
      </c>
      <c r="D79" s="43" t="n">
        <v>61.3</v>
      </c>
      <c r="E79" s="43" t="n">
        <v>28.39</v>
      </c>
      <c r="F79" s="44" t="n">
        <v>96</v>
      </c>
      <c r="G79" s="44" t="n">
        <v>972</v>
      </c>
      <c r="H79" s="43" t="n">
        <v>12.0472</v>
      </c>
      <c r="I79" s="43" t="n">
        <v>19.993</v>
      </c>
      <c r="J79" s="44" t="n">
        <v>269</v>
      </c>
      <c r="K7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9" s="46">
        <f>(Dashboard!$C$13*tblHistory[[#This Row],[NDX S]]+Dashboard!$C$14*tblHistory[[#This Row],[SOX S]]+Dashboard!$C$15*tblHistory[[#This Row],[AIQ S]])/(Dashboard!$C$13+Dashboard!$C$14+Dashboard!$C$15)*100</f>
        <v/>
      </c>
      <c r="U79" s="46">
        <f>(Dashboard!$C$16*tblHistory[[#This Row],[DTCR S]]+Dashboard!$C$17*tblHistory[[#This Row],[BBB S]]+Dashboard!$C$18*tblHistory[[#This Row],[CCC S]])/(Dashboard!$C$16+Dashboard!$C$17+Dashboard!$C$18)*100</f>
        <v/>
      </c>
      <c r="V79" s="46">
        <f>(Dashboard!$C$19*tblHistory[[#This Row],[BIZD S]]+Dashboard!$C$20*tblHistory[[#This Row],[BKLN S]]+Dashboard!$C$21*tblHistory[[#This Row],[HY S]])/(Dashboard!$C$19+Dashboard!$C$20+Dashboard!$C$21)*100</f>
        <v/>
      </c>
      <c r="W7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9" s="46">
        <f>IFERROR(--(tblHistory[[#This Row],[Score]]&gt;=50),0)</f>
        <v/>
      </c>
      <c r="Y79" s="46">
        <f>IFERROR(--AND(tblHistory[[#This Row],[Score]]&gt;=60,OR(AND(tblHistory[[#This Row],[BIZD S]]&gt;=0.8,tblHistory[[#This Row],[BKLN S]]&gt;=0.5),tblHistory[[#This Row],[CCC S]]&gt;=0.8)),0)</f>
        <v/>
      </c>
      <c r="Z79" s="46">
        <f>IFERROR(--AND(tblHistory[[#This Row],[Score]]&gt;=70,tblHistory[[#This Row],[SOX S]]&gt;=0.83,tblHistory[[#This Row],[AIQ S]]&gt;=0.8),0)</f>
        <v/>
      </c>
      <c r="AA7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0">
      <c r="A80" s="42" t="n">
        <v>46213</v>
      </c>
      <c r="B80" s="43" t="n">
        <v>29825.1094</v>
      </c>
      <c r="C80" s="43" t="n">
        <v>12967.1602</v>
      </c>
      <c r="D80" s="43" t="n">
        <v>63.44</v>
      </c>
      <c r="E80" s="43" t="n">
        <v>29.24</v>
      </c>
      <c r="F80" s="44" t="n">
        <v>96</v>
      </c>
      <c r="G80" s="44" t="n">
        <v>970</v>
      </c>
      <c r="H80" s="43" t="n">
        <v>12.1245</v>
      </c>
      <c r="I80" s="43" t="n">
        <v>19.993</v>
      </c>
      <c r="J80" s="44" t="n">
        <v>269</v>
      </c>
      <c r="K8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0" s="46">
        <f>(Dashboard!$C$13*tblHistory[[#This Row],[NDX S]]+Dashboard!$C$14*tblHistory[[#This Row],[SOX S]]+Dashboard!$C$15*tblHistory[[#This Row],[AIQ S]])/(Dashboard!$C$13+Dashboard!$C$14+Dashboard!$C$15)*100</f>
        <v/>
      </c>
      <c r="U80" s="46">
        <f>(Dashboard!$C$16*tblHistory[[#This Row],[DTCR S]]+Dashboard!$C$17*tblHistory[[#This Row],[BBB S]]+Dashboard!$C$18*tblHistory[[#This Row],[CCC S]])/(Dashboard!$C$16+Dashboard!$C$17+Dashboard!$C$18)*100</f>
        <v/>
      </c>
      <c r="V80" s="46">
        <f>(Dashboard!$C$19*tblHistory[[#This Row],[BIZD S]]+Dashboard!$C$20*tblHistory[[#This Row],[BKLN S]]+Dashboard!$C$21*tblHistory[[#This Row],[HY S]])/(Dashboard!$C$19+Dashboard!$C$20+Dashboard!$C$21)*100</f>
        <v/>
      </c>
      <c r="W8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0" s="46">
        <f>IFERROR(--(tblHistory[[#This Row],[Score]]&gt;=50),0)</f>
        <v/>
      </c>
      <c r="Y80" s="46">
        <f>IFERROR(--AND(tblHistory[[#This Row],[Score]]&gt;=60,OR(AND(tblHistory[[#This Row],[BIZD S]]&gt;=0.8,tblHistory[[#This Row],[BKLN S]]&gt;=0.5),tblHistory[[#This Row],[CCC S]]&gt;=0.8)),0)</f>
        <v/>
      </c>
      <c r="Z80" s="46">
        <f>IFERROR(--AND(tblHistory[[#This Row],[Score]]&gt;=70,tblHistory[[#This Row],[SOX S]]&gt;=0.83,tblHistory[[#This Row],[AIQ S]]&gt;=0.8),0)</f>
        <v/>
      </c>
      <c r="AA8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1">
      <c r="A81" s="42" t="n">
        <v>46212</v>
      </c>
      <c r="B81" s="43" t="n">
        <v>29727.0996</v>
      </c>
      <c r="C81" s="43" t="n">
        <v>12960</v>
      </c>
      <c r="D81" s="43" t="n">
        <v>63.83</v>
      </c>
      <c r="E81" s="43" t="n">
        <v>29.11</v>
      </c>
      <c r="F81" s="44" t="n">
        <v>94</v>
      </c>
      <c r="G81" s="44" t="n">
        <v>974</v>
      </c>
      <c r="H81" s="43" t="n">
        <v>11.8637</v>
      </c>
      <c r="I81" s="43" t="n">
        <v>19.9832</v>
      </c>
      <c r="J81" s="44" t="n">
        <v>270</v>
      </c>
      <c r="K8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1" s="46">
        <f>(Dashboard!$C$13*tblHistory[[#This Row],[NDX S]]+Dashboard!$C$14*tblHistory[[#This Row],[SOX S]]+Dashboard!$C$15*tblHistory[[#This Row],[AIQ S]])/(Dashboard!$C$13+Dashboard!$C$14+Dashboard!$C$15)*100</f>
        <v/>
      </c>
      <c r="U81" s="46">
        <f>(Dashboard!$C$16*tblHistory[[#This Row],[DTCR S]]+Dashboard!$C$17*tblHistory[[#This Row],[BBB S]]+Dashboard!$C$18*tblHistory[[#This Row],[CCC S]])/(Dashboard!$C$16+Dashboard!$C$17+Dashboard!$C$18)*100</f>
        <v/>
      </c>
      <c r="V81" s="46">
        <f>(Dashboard!$C$19*tblHistory[[#This Row],[BIZD S]]+Dashboard!$C$20*tblHistory[[#This Row],[BKLN S]]+Dashboard!$C$21*tblHistory[[#This Row],[HY S]])/(Dashboard!$C$19+Dashboard!$C$20+Dashboard!$C$21)*100</f>
        <v/>
      </c>
      <c r="W8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1" s="46">
        <f>IFERROR(--(tblHistory[[#This Row],[Score]]&gt;=50),0)</f>
        <v/>
      </c>
      <c r="Y81" s="46">
        <f>IFERROR(--AND(tblHistory[[#This Row],[Score]]&gt;=60,OR(AND(tblHistory[[#This Row],[BIZD S]]&gt;=0.8,tblHistory[[#This Row],[BKLN S]]&gt;=0.5),tblHistory[[#This Row],[CCC S]]&gt;=0.8)),0)</f>
        <v/>
      </c>
      <c r="Z81" s="46">
        <f>IFERROR(--AND(tblHistory[[#This Row],[Score]]&gt;=70,tblHistory[[#This Row],[SOX S]]&gt;=0.83,tblHistory[[#This Row],[AIQ S]]&gt;=0.8),0)</f>
        <v/>
      </c>
      <c r="AA8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2">
      <c r="A82" s="42" t="n">
        <v>46211</v>
      </c>
      <c r="B82" s="43" t="n">
        <v>29252.5605</v>
      </c>
      <c r="C82" s="43" t="n">
        <v>12574.9697</v>
      </c>
      <c r="D82" s="43" t="n">
        <v>62.57</v>
      </c>
      <c r="E82" s="43" t="n">
        <v>28.59</v>
      </c>
      <c r="F82" s="44" t="n">
        <v>94</v>
      </c>
      <c r="G82" s="44" t="n">
        <v>975</v>
      </c>
      <c r="H82" s="43" t="n">
        <v>11.9023</v>
      </c>
      <c r="I82" s="43" t="n">
        <v>19.9735</v>
      </c>
      <c r="J82" s="44" t="n">
        <v>270</v>
      </c>
      <c r="K8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2" s="46">
        <f>(Dashboard!$C$13*tblHistory[[#This Row],[NDX S]]+Dashboard!$C$14*tblHistory[[#This Row],[SOX S]]+Dashboard!$C$15*tblHistory[[#This Row],[AIQ S]])/(Dashboard!$C$13+Dashboard!$C$14+Dashboard!$C$15)*100</f>
        <v/>
      </c>
      <c r="U82" s="46">
        <f>(Dashboard!$C$16*tblHistory[[#This Row],[DTCR S]]+Dashboard!$C$17*tblHistory[[#This Row],[BBB S]]+Dashboard!$C$18*tblHistory[[#This Row],[CCC S]])/(Dashboard!$C$16+Dashboard!$C$17+Dashboard!$C$18)*100</f>
        <v/>
      </c>
      <c r="V82" s="46">
        <f>(Dashboard!$C$19*tblHistory[[#This Row],[BIZD S]]+Dashboard!$C$20*tblHistory[[#This Row],[BKLN S]]+Dashboard!$C$21*tblHistory[[#This Row],[HY S]])/(Dashboard!$C$19+Dashboard!$C$20+Dashboard!$C$21)*100</f>
        <v/>
      </c>
      <c r="W8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2" s="46">
        <f>IFERROR(--(tblHistory[[#This Row],[Score]]&gt;=50),0)</f>
        <v/>
      </c>
      <c r="Y82" s="46">
        <f>IFERROR(--AND(tblHistory[[#This Row],[Score]]&gt;=60,OR(AND(tblHistory[[#This Row],[BIZD S]]&gt;=0.8,tblHistory[[#This Row],[BKLN S]]&gt;=0.5),tblHistory[[#This Row],[CCC S]]&gt;=0.8)),0)</f>
        <v/>
      </c>
      <c r="Z82" s="46">
        <f>IFERROR(--AND(tblHistory[[#This Row],[Score]]&gt;=70,tblHistory[[#This Row],[SOX S]]&gt;=0.83,tblHistory[[#This Row],[AIQ S]]&gt;=0.8),0)</f>
        <v/>
      </c>
      <c r="AA8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3">
      <c r="A83" s="42" t="n">
        <v>46210</v>
      </c>
      <c r="B83" s="43" t="n">
        <v>29173.0195</v>
      </c>
      <c r="C83" s="43" t="n">
        <v>12300.5195</v>
      </c>
      <c r="D83" s="43" t="n">
        <v>62.08</v>
      </c>
      <c r="E83" s="43" t="n">
        <v>28.26</v>
      </c>
      <c r="F83" s="44" t="n">
        <v>94</v>
      </c>
      <c r="G83" s="44" t="n">
        <v>964</v>
      </c>
      <c r="H83" s="43" t="n">
        <v>11.9506</v>
      </c>
      <c r="I83" s="43" t="n">
        <v>19.9735</v>
      </c>
      <c r="J83" s="44" t="n">
        <v>267</v>
      </c>
      <c r="K8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3" s="46">
        <f>(Dashboard!$C$13*tblHistory[[#This Row],[NDX S]]+Dashboard!$C$14*tblHistory[[#This Row],[SOX S]]+Dashboard!$C$15*tblHistory[[#This Row],[AIQ S]])/(Dashboard!$C$13+Dashboard!$C$14+Dashboard!$C$15)*100</f>
        <v/>
      </c>
      <c r="U83" s="46">
        <f>(Dashboard!$C$16*tblHistory[[#This Row],[DTCR S]]+Dashboard!$C$17*tblHistory[[#This Row],[BBB S]]+Dashboard!$C$18*tblHistory[[#This Row],[CCC S]])/(Dashboard!$C$16+Dashboard!$C$17+Dashboard!$C$18)*100</f>
        <v/>
      </c>
      <c r="V83" s="46">
        <f>(Dashboard!$C$19*tblHistory[[#This Row],[BIZD S]]+Dashboard!$C$20*tblHistory[[#This Row],[BKLN S]]+Dashboard!$C$21*tblHistory[[#This Row],[HY S]])/(Dashboard!$C$19+Dashboard!$C$20+Dashboard!$C$21)*100</f>
        <v/>
      </c>
      <c r="W8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3" s="46">
        <f>IFERROR(--(tblHistory[[#This Row],[Score]]&gt;=50),0)</f>
        <v/>
      </c>
      <c r="Y83" s="46">
        <f>IFERROR(--AND(tblHistory[[#This Row],[Score]]&gt;=60,OR(AND(tblHistory[[#This Row],[BIZD S]]&gt;=0.8,tblHistory[[#This Row],[BKLN S]]&gt;=0.5),tblHistory[[#This Row],[CCC S]]&gt;=0.8)),0)</f>
        <v/>
      </c>
      <c r="Z83" s="46">
        <f>IFERROR(--AND(tblHistory[[#This Row],[Score]]&gt;=70,tblHistory[[#This Row],[SOX S]]&gt;=0.83,tblHistory[[#This Row],[AIQ S]]&gt;=0.8),0)</f>
        <v/>
      </c>
      <c r="AA8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4">
      <c r="A84" s="42" t="n">
        <v>46209</v>
      </c>
      <c r="B84" s="43" t="n">
        <v>29697.8691</v>
      </c>
      <c r="C84" s="43" t="n">
        <v>12900.1396</v>
      </c>
      <c r="D84" s="43" t="n">
        <v>63.84</v>
      </c>
      <c r="E84" s="43" t="n">
        <v>28.72</v>
      </c>
      <c r="F84" s="44" t="n">
        <v>94</v>
      </c>
      <c r="G84" s="44" t="n">
        <v>967</v>
      </c>
      <c r="H84" s="43" t="n">
        <v>12.0279</v>
      </c>
      <c r="I84" s="43" t="n">
        <v>19.9441</v>
      </c>
      <c r="J84" s="44" t="n">
        <v>272</v>
      </c>
      <c r="K8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4" s="46">
        <f>(Dashboard!$C$13*tblHistory[[#This Row],[NDX S]]+Dashboard!$C$14*tblHistory[[#This Row],[SOX S]]+Dashboard!$C$15*tblHistory[[#This Row],[AIQ S]])/(Dashboard!$C$13+Dashboard!$C$14+Dashboard!$C$15)*100</f>
        <v/>
      </c>
      <c r="U84" s="46">
        <f>(Dashboard!$C$16*tblHistory[[#This Row],[DTCR S]]+Dashboard!$C$17*tblHistory[[#This Row],[BBB S]]+Dashboard!$C$18*tblHistory[[#This Row],[CCC S]])/(Dashboard!$C$16+Dashboard!$C$17+Dashboard!$C$18)*100</f>
        <v/>
      </c>
      <c r="V84" s="46">
        <f>(Dashboard!$C$19*tblHistory[[#This Row],[BIZD S]]+Dashboard!$C$20*tblHistory[[#This Row],[BKLN S]]+Dashboard!$C$21*tblHistory[[#This Row],[HY S]])/(Dashboard!$C$19+Dashboard!$C$20+Dashboard!$C$21)*100</f>
        <v/>
      </c>
      <c r="W8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4" s="46">
        <f>IFERROR(--(tblHistory[[#This Row],[Score]]&gt;=50),0)</f>
        <v/>
      </c>
      <c r="Y84" s="46">
        <f>IFERROR(--AND(tblHistory[[#This Row],[Score]]&gt;=60,OR(AND(tblHistory[[#This Row],[BIZD S]]&gt;=0.8,tblHistory[[#This Row],[BKLN S]]&gt;=0.5),tblHistory[[#This Row],[CCC S]]&gt;=0.8)),0)</f>
        <v/>
      </c>
      <c r="Z84" s="46">
        <f>IFERROR(--AND(tblHistory[[#This Row],[Score]]&gt;=70,tblHistory[[#This Row],[SOX S]]&gt;=0.83,tblHistory[[#This Row],[AIQ S]]&gt;=0.8),0)</f>
        <v/>
      </c>
      <c r="AA8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5">
      <c r="A85" s="42" t="n">
        <v>46205</v>
      </c>
      <c r="B85" s="43" t="n">
        <v>29329.2109</v>
      </c>
      <c r="C85" s="43" t="n">
        <v>12626.2197</v>
      </c>
      <c r="D85" s="43" t="n">
        <v>61.85</v>
      </c>
      <c r="E85" s="43" t="n">
        <v>28.46</v>
      </c>
      <c r="F85" s="44" t="n">
        <v>94</v>
      </c>
      <c r="G85" s="44" t="n">
        <v>971</v>
      </c>
      <c r="H85" s="43" t="n">
        <v>12.0859</v>
      </c>
      <c r="I85" s="43" t="n">
        <v>19.905</v>
      </c>
      <c r="J85" s="44" t="n">
        <v>275</v>
      </c>
      <c r="K8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5" s="46">
        <f>(Dashboard!$C$13*tblHistory[[#This Row],[NDX S]]+Dashboard!$C$14*tblHistory[[#This Row],[SOX S]]+Dashboard!$C$15*tblHistory[[#This Row],[AIQ S]])/(Dashboard!$C$13+Dashboard!$C$14+Dashboard!$C$15)*100</f>
        <v/>
      </c>
      <c r="U85" s="46">
        <f>(Dashboard!$C$16*tblHistory[[#This Row],[DTCR S]]+Dashboard!$C$17*tblHistory[[#This Row],[BBB S]]+Dashboard!$C$18*tblHistory[[#This Row],[CCC S]])/(Dashboard!$C$16+Dashboard!$C$17+Dashboard!$C$18)*100</f>
        <v/>
      </c>
      <c r="V85" s="46">
        <f>(Dashboard!$C$19*tblHistory[[#This Row],[BIZD S]]+Dashboard!$C$20*tblHistory[[#This Row],[BKLN S]]+Dashboard!$C$21*tblHistory[[#This Row],[HY S]])/(Dashboard!$C$19+Dashboard!$C$20+Dashboard!$C$21)*100</f>
        <v/>
      </c>
      <c r="W8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5" s="46">
        <f>IFERROR(--(tblHistory[[#This Row],[Score]]&gt;=50),0)</f>
        <v/>
      </c>
      <c r="Y85" s="46">
        <f>IFERROR(--AND(tblHistory[[#This Row],[Score]]&gt;=60,OR(AND(tblHistory[[#This Row],[BIZD S]]&gt;=0.8,tblHistory[[#This Row],[BKLN S]]&gt;=0.5),tblHistory[[#This Row],[CCC S]]&gt;=0.8)),0)</f>
        <v/>
      </c>
      <c r="Z85" s="46">
        <f>IFERROR(--AND(tblHistory[[#This Row],[Score]]&gt;=70,tblHistory[[#This Row],[SOX S]]&gt;=0.83,tblHistory[[#This Row],[AIQ S]]&gt;=0.8),0)</f>
        <v/>
      </c>
      <c r="AA8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6">
      <c r="A86" s="42" t="n">
        <v>46204</v>
      </c>
      <c r="B86" s="43" t="n">
        <v>29809.1309</v>
      </c>
      <c r="C86" s="43" t="n">
        <v>13353.2803</v>
      </c>
      <c r="D86" s="43" t="n">
        <v>63.63</v>
      </c>
      <c r="E86" s="43" t="n">
        <v>29.49</v>
      </c>
      <c r="F86" s="44" t="n">
        <v>94</v>
      </c>
      <c r="G86" s="44" t="n">
        <v>968</v>
      </c>
      <c r="H86" s="43" t="n">
        <v>12.1149</v>
      </c>
      <c r="I86" s="43" t="n">
        <v>19.9148</v>
      </c>
      <c r="J86" s="44" t="n">
        <v>274</v>
      </c>
      <c r="K8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6" s="46">
        <f>(Dashboard!$C$13*tblHistory[[#This Row],[NDX S]]+Dashboard!$C$14*tblHistory[[#This Row],[SOX S]]+Dashboard!$C$15*tblHistory[[#This Row],[AIQ S]])/(Dashboard!$C$13+Dashboard!$C$14+Dashboard!$C$15)*100</f>
        <v/>
      </c>
      <c r="U86" s="46">
        <f>(Dashboard!$C$16*tblHistory[[#This Row],[DTCR S]]+Dashboard!$C$17*tblHistory[[#This Row],[BBB S]]+Dashboard!$C$18*tblHistory[[#This Row],[CCC S]])/(Dashboard!$C$16+Dashboard!$C$17+Dashboard!$C$18)*100</f>
        <v/>
      </c>
      <c r="V86" s="46">
        <f>(Dashboard!$C$19*tblHistory[[#This Row],[BIZD S]]+Dashboard!$C$20*tblHistory[[#This Row],[BKLN S]]+Dashboard!$C$21*tblHistory[[#This Row],[HY S]])/(Dashboard!$C$19+Dashboard!$C$20+Dashboard!$C$21)*100</f>
        <v/>
      </c>
      <c r="W8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6" s="46">
        <f>IFERROR(--(tblHistory[[#This Row],[Score]]&gt;=50),0)</f>
        <v/>
      </c>
      <c r="Y86" s="46">
        <f>IFERROR(--AND(tblHistory[[#This Row],[Score]]&gt;=60,OR(AND(tblHistory[[#This Row],[BIZD S]]&gt;=0.8,tblHistory[[#This Row],[BKLN S]]&gt;=0.5),tblHistory[[#This Row],[CCC S]]&gt;=0.8)),0)</f>
        <v/>
      </c>
      <c r="Z86" s="46">
        <f>IFERROR(--AND(tblHistory[[#This Row],[Score]]&gt;=70,tblHistory[[#This Row],[SOX S]]&gt;=0.83,tblHistory[[#This Row],[AIQ S]]&gt;=0.8),0)</f>
        <v/>
      </c>
      <c r="AA8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7">
      <c r="A87" s="42" t="n">
        <v>46203</v>
      </c>
      <c r="B87" s="43" t="n">
        <v>30276.3496</v>
      </c>
      <c r="C87" s="43" t="n">
        <v>14246.96</v>
      </c>
      <c r="D87" s="43" t="n">
        <v>65.61</v>
      </c>
      <c r="E87" s="43" t="n">
        <v>30.37</v>
      </c>
      <c r="F87" s="44" t="n">
        <v>95</v>
      </c>
      <c r="G87" s="44" t="n">
        <v>970</v>
      </c>
      <c r="H87" s="43" t="n">
        <v>11.9999</v>
      </c>
      <c r="I87" s="43" t="n">
        <v>19.9246</v>
      </c>
      <c r="J87" s="44" t="n">
        <v>275</v>
      </c>
      <c r="K8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7" s="46">
        <f>(Dashboard!$C$13*tblHistory[[#This Row],[NDX S]]+Dashboard!$C$14*tblHistory[[#This Row],[SOX S]]+Dashboard!$C$15*tblHistory[[#This Row],[AIQ S]])/(Dashboard!$C$13+Dashboard!$C$14+Dashboard!$C$15)*100</f>
        <v/>
      </c>
      <c r="U87" s="46">
        <f>(Dashboard!$C$16*tblHistory[[#This Row],[DTCR S]]+Dashboard!$C$17*tblHistory[[#This Row],[BBB S]]+Dashboard!$C$18*tblHistory[[#This Row],[CCC S]])/(Dashboard!$C$16+Dashboard!$C$17+Dashboard!$C$18)*100</f>
        <v/>
      </c>
      <c r="V87" s="46">
        <f>(Dashboard!$C$19*tblHistory[[#This Row],[BIZD S]]+Dashboard!$C$20*tblHistory[[#This Row],[BKLN S]]+Dashboard!$C$21*tblHistory[[#This Row],[HY S]])/(Dashboard!$C$19+Dashboard!$C$20+Dashboard!$C$21)*100</f>
        <v/>
      </c>
      <c r="W8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7" s="46">
        <f>IFERROR(--(tblHistory[[#This Row],[Score]]&gt;=50),0)</f>
        <v/>
      </c>
      <c r="Y87" s="46">
        <f>IFERROR(--AND(tblHistory[[#This Row],[Score]]&gt;=60,OR(AND(tblHistory[[#This Row],[BIZD S]]&gt;=0.8,tblHistory[[#This Row],[BKLN S]]&gt;=0.5),tblHistory[[#This Row],[CCC S]]&gt;=0.8)),0)</f>
        <v/>
      </c>
      <c r="Z87" s="46">
        <f>IFERROR(--AND(tblHistory[[#This Row],[Score]]&gt;=70,tblHistory[[#This Row],[SOX S]]&gt;=0.83,tblHistory[[#This Row],[AIQ S]]&gt;=0.8),0)</f>
        <v/>
      </c>
      <c r="AA8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8">
      <c r="A88" s="42" t="n">
        <v>46202</v>
      </c>
      <c r="B88" s="43" t="n">
        <v>29774.75</v>
      </c>
      <c r="C88" s="43" t="n">
        <v>13709.6602</v>
      </c>
      <c r="D88" s="43" t="n">
        <v>64.22</v>
      </c>
      <c r="E88" s="43" t="n">
        <v>30.43</v>
      </c>
      <c r="F88" s="44" t="n">
        <v>95</v>
      </c>
      <c r="G88" s="44" t="n">
        <v>967</v>
      </c>
      <c r="H88" s="43" t="n">
        <v>12.0094</v>
      </c>
      <c r="I88" s="43" t="n">
        <v>19.8561</v>
      </c>
      <c r="J88" s="44" t="n">
        <v>280</v>
      </c>
      <c r="K8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8" s="46">
        <f>(Dashboard!$C$13*tblHistory[[#This Row],[NDX S]]+Dashboard!$C$14*tblHistory[[#This Row],[SOX S]]+Dashboard!$C$15*tblHistory[[#This Row],[AIQ S]])/(Dashboard!$C$13+Dashboard!$C$14+Dashboard!$C$15)*100</f>
        <v/>
      </c>
      <c r="U88" s="46">
        <f>(Dashboard!$C$16*tblHistory[[#This Row],[DTCR S]]+Dashboard!$C$17*tblHistory[[#This Row],[BBB S]]+Dashboard!$C$18*tblHistory[[#This Row],[CCC S]])/(Dashboard!$C$16+Dashboard!$C$17+Dashboard!$C$18)*100</f>
        <v/>
      </c>
      <c r="V88" s="46">
        <f>(Dashboard!$C$19*tblHistory[[#This Row],[BIZD S]]+Dashboard!$C$20*tblHistory[[#This Row],[BKLN S]]+Dashboard!$C$21*tblHistory[[#This Row],[HY S]])/(Dashboard!$C$19+Dashboard!$C$20+Dashboard!$C$21)*100</f>
        <v/>
      </c>
      <c r="W8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8" s="46">
        <f>IFERROR(--(tblHistory[[#This Row],[Score]]&gt;=50),0)</f>
        <v/>
      </c>
      <c r="Y88" s="46">
        <f>IFERROR(--AND(tblHistory[[#This Row],[Score]]&gt;=60,OR(AND(tblHistory[[#This Row],[BIZD S]]&gt;=0.8,tblHistory[[#This Row],[BKLN S]]&gt;=0.5),tblHistory[[#This Row],[CCC S]]&gt;=0.8)),0)</f>
        <v/>
      </c>
      <c r="Z88" s="46">
        <f>IFERROR(--AND(tblHistory[[#This Row],[Score]]&gt;=70,tblHistory[[#This Row],[SOX S]]&gt;=0.83,tblHistory[[#This Row],[AIQ S]]&gt;=0.8),0)</f>
        <v/>
      </c>
      <c r="AA8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89">
      <c r="A89" s="42" t="n">
        <v>46199</v>
      </c>
      <c r="B89" s="43" t="n">
        <v>29118.2402</v>
      </c>
      <c r="C89" s="43" t="n">
        <v>13203.5703</v>
      </c>
      <c r="D89" s="43" t="n">
        <v>63.15</v>
      </c>
      <c r="E89" s="43" t="n">
        <v>30.568</v>
      </c>
      <c r="F89" s="44" t="n">
        <v>96</v>
      </c>
      <c r="G89" s="44" t="n">
        <v>973</v>
      </c>
      <c r="H89" s="43" t="n">
        <v>11.7914</v>
      </c>
      <c r="I89" s="43" t="n">
        <v>19.8561</v>
      </c>
      <c r="J89" s="44" t="n">
        <v>283</v>
      </c>
      <c r="K8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8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8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8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8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8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8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8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8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89" s="46">
        <f>(Dashboard!$C$13*tblHistory[[#This Row],[NDX S]]+Dashboard!$C$14*tblHistory[[#This Row],[SOX S]]+Dashboard!$C$15*tblHistory[[#This Row],[AIQ S]])/(Dashboard!$C$13+Dashboard!$C$14+Dashboard!$C$15)*100</f>
        <v/>
      </c>
      <c r="U89" s="46">
        <f>(Dashboard!$C$16*tblHistory[[#This Row],[DTCR S]]+Dashboard!$C$17*tblHistory[[#This Row],[BBB S]]+Dashboard!$C$18*tblHistory[[#This Row],[CCC S]])/(Dashboard!$C$16+Dashboard!$C$17+Dashboard!$C$18)*100</f>
        <v/>
      </c>
      <c r="V89" s="46">
        <f>(Dashboard!$C$19*tblHistory[[#This Row],[BIZD S]]+Dashboard!$C$20*tblHistory[[#This Row],[BKLN S]]+Dashboard!$C$21*tblHistory[[#This Row],[HY S]])/(Dashboard!$C$19+Dashboard!$C$20+Dashboard!$C$21)*100</f>
        <v/>
      </c>
      <c r="W8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89" s="46">
        <f>IFERROR(--(tblHistory[[#This Row],[Score]]&gt;=50),0)</f>
        <v/>
      </c>
      <c r="Y89" s="46">
        <f>IFERROR(--AND(tblHistory[[#This Row],[Score]]&gt;=60,OR(AND(tblHistory[[#This Row],[BIZD S]]&gt;=0.8,tblHistory[[#This Row],[BKLN S]]&gt;=0.5),tblHistory[[#This Row],[CCC S]]&gt;=0.8)),0)</f>
        <v/>
      </c>
      <c r="Z89" s="46">
        <f>IFERROR(--AND(tblHistory[[#This Row],[Score]]&gt;=70,tblHistory[[#This Row],[SOX S]]&gt;=0.83,tblHistory[[#This Row],[AIQ S]]&gt;=0.8),0)</f>
        <v/>
      </c>
      <c r="AA8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8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8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8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8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0">
      <c r="A90" s="42" t="n">
        <v>46198</v>
      </c>
      <c r="B90" s="43" t="n">
        <v>29440.3203</v>
      </c>
      <c r="C90" s="43" t="n">
        <v>13940.8701</v>
      </c>
      <c r="D90" s="43" t="n">
        <v>64.18000000000001</v>
      </c>
      <c r="E90" s="43" t="n">
        <v>30.9566</v>
      </c>
      <c r="F90" s="44" t="n">
        <v>95</v>
      </c>
      <c r="G90" s="44" t="n">
        <v>968</v>
      </c>
      <c r="H90" s="43" t="n">
        <v>11.6113</v>
      </c>
      <c r="I90" s="43" t="n">
        <v>19.8659</v>
      </c>
      <c r="J90" s="44" t="n">
        <v>278</v>
      </c>
      <c r="K9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0" s="46">
        <f>(Dashboard!$C$13*tblHistory[[#This Row],[NDX S]]+Dashboard!$C$14*tblHistory[[#This Row],[SOX S]]+Dashboard!$C$15*tblHistory[[#This Row],[AIQ S]])/(Dashboard!$C$13+Dashboard!$C$14+Dashboard!$C$15)*100</f>
        <v/>
      </c>
      <c r="U90" s="46">
        <f>(Dashboard!$C$16*tblHistory[[#This Row],[DTCR S]]+Dashboard!$C$17*tblHistory[[#This Row],[BBB S]]+Dashboard!$C$18*tblHistory[[#This Row],[CCC S]])/(Dashboard!$C$16+Dashboard!$C$17+Dashboard!$C$18)*100</f>
        <v/>
      </c>
      <c r="V90" s="46">
        <f>(Dashboard!$C$19*tblHistory[[#This Row],[BIZD S]]+Dashboard!$C$20*tblHistory[[#This Row],[BKLN S]]+Dashboard!$C$21*tblHistory[[#This Row],[HY S]])/(Dashboard!$C$19+Dashboard!$C$20+Dashboard!$C$21)*100</f>
        <v/>
      </c>
      <c r="W9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0" s="46">
        <f>IFERROR(--(tblHistory[[#This Row],[Score]]&gt;=50),0)</f>
        <v/>
      </c>
      <c r="Y90" s="46">
        <f>IFERROR(--AND(tblHistory[[#This Row],[Score]]&gt;=60,OR(AND(tblHistory[[#This Row],[BIZD S]]&gt;=0.8,tblHistory[[#This Row],[BKLN S]]&gt;=0.5),tblHistory[[#This Row],[CCC S]]&gt;=0.8)),0)</f>
        <v/>
      </c>
      <c r="Z90" s="46">
        <f>IFERROR(--AND(tblHistory[[#This Row],[Score]]&gt;=70,tblHistory[[#This Row],[SOX S]]&gt;=0.83,tblHistory[[#This Row],[AIQ S]]&gt;=0.8),0)</f>
        <v/>
      </c>
      <c r="AA9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1">
      <c r="A91" s="42" t="n">
        <v>46197</v>
      </c>
      <c r="B91" s="43" t="n">
        <v>29220.0605</v>
      </c>
      <c r="C91" s="43" t="n">
        <v>13458.2002</v>
      </c>
      <c r="D91" s="43" t="n">
        <v>63.39</v>
      </c>
      <c r="E91" s="43" t="n">
        <v>30.9267</v>
      </c>
      <c r="F91" s="44" t="n">
        <v>94</v>
      </c>
      <c r="G91" s="44" t="n">
        <v>964</v>
      </c>
      <c r="H91" s="43" t="n">
        <v>11.5734</v>
      </c>
      <c r="I91" s="43" t="n">
        <v>19.8757</v>
      </c>
      <c r="J91" s="44" t="n">
        <v>276</v>
      </c>
      <c r="K9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1" s="46">
        <f>(Dashboard!$C$13*tblHistory[[#This Row],[NDX S]]+Dashboard!$C$14*tblHistory[[#This Row],[SOX S]]+Dashboard!$C$15*tblHistory[[#This Row],[AIQ S]])/(Dashboard!$C$13+Dashboard!$C$14+Dashboard!$C$15)*100</f>
        <v/>
      </c>
      <c r="U91" s="46">
        <f>(Dashboard!$C$16*tblHistory[[#This Row],[DTCR S]]+Dashboard!$C$17*tblHistory[[#This Row],[BBB S]]+Dashboard!$C$18*tblHistory[[#This Row],[CCC S]])/(Dashboard!$C$16+Dashboard!$C$17+Dashboard!$C$18)*100</f>
        <v/>
      </c>
      <c r="V91" s="46">
        <f>(Dashboard!$C$19*tblHistory[[#This Row],[BIZD S]]+Dashboard!$C$20*tblHistory[[#This Row],[BKLN S]]+Dashboard!$C$21*tblHistory[[#This Row],[HY S]])/(Dashboard!$C$19+Dashboard!$C$20+Dashboard!$C$21)*100</f>
        <v/>
      </c>
      <c r="W9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1" s="46">
        <f>IFERROR(--(tblHistory[[#This Row],[Score]]&gt;=50),0)</f>
        <v/>
      </c>
      <c r="Y91" s="46">
        <f>IFERROR(--AND(tblHistory[[#This Row],[Score]]&gt;=60,OR(AND(tblHistory[[#This Row],[BIZD S]]&gt;=0.8,tblHistory[[#This Row],[BKLN S]]&gt;=0.5),tblHistory[[#This Row],[CCC S]]&gt;=0.8)),0)</f>
        <v/>
      </c>
      <c r="Z91" s="46">
        <f>IFERROR(--AND(tblHistory[[#This Row],[Score]]&gt;=70,tblHistory[[#This Row],[SOX S]]&gt;=0.83,tblHistory[[#This Row],[AIQ S]]&gt;=0.8),0)</f>
        <v/>
      </c>
      <c r="AA9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2">
      <c r="A92" s="42" t="n">
        <v>46196</v>
      </c>
      <c r="B92" s="43" t="n">
        <v>29347.2695</v>
      </c>
      <c r="C92" s="43" t="n">
        <v>13482.5098</v>
      </c>
      <c r="D92" s="43" t="n">
        <v>63.35</v>
      </c>
      <c r="E92" s="43" t="n">
        <v>31.3651</v>
      </c>
      <c r="F92" s="44" t="n">
        <v>93</v>
      </c>
      <c r="G92" s="44" t="n">
        <v>956</v>
      </c>
      <c r="H92" s="43" t="n">
        <v>11.6587</v>
      </c>
      <c r="I92" s="43" t="n">
        <v>19.8952</v>
      </c>
      <c r="J92" s="44" t="n">
        <v>271</v>
      </c>
      <c r="K9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2" s="46">
        <f>(Dashboard!$C$13*tblHistory[[#This Row],[NDX S]]+Dashboard!$C$14*tblHistory[[#This Row],[SOX S]]+Dashboard!$C$15*tblHistory[[#This Row],[AIQ S]])/(Dashboard!$C$13+Dashboard!$C$14+Dashboard!$C$15)*100</f>
        <v/>
      </c>
      <c r="U92" s="46">
        <f>(Dashboard!$C$16*tblHistory[[#This Row],[DTCR S]]+Dashboard!$C$17*tblHistory[[#This Row],[BBB S]]+Dashboard!$C$18*tblHistory[[#This Row],[CCC S]])/(Dashboard!$C$16+Dashboard!$C$17+Dashboard!$C$18)*100</f>
        <v/>
      </c>
      <c r="V92" s="46">
        <f>(Dashboard!$C$19*tblHistory[[#This Row],[BIZD S]]+Dashboard!$C$20*tblHistory[[#This Row],[BKLN S]]+Dashboard!$C$21*tblHistory[[#This Row],[HY S]])/(Dashboard!$C$19+Dashboard!$C$20+Dashboard!$C$21)*100</f>
        <v/>
      </c>
      <c r="W9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2" s="46">
        <f>IFERROR(--(tblHistory[[#This Row],[Score]]&gt;=50),0)</f>
        <v/>
      </c>
      <c r="Y92" s="46">
        <f>IFERROR(--AND(tblHistory[[#This Row],[Score]]&gt;=60,OR(AND(tblHistory[[#This Row],[BIZD S]]&gt;=0.8,tblHistory[[#This Row],[BKLN S]]&gt;=0.5),tblHistory[[#This Row],[CCC S]]&gt;=0.8)),0)</f>
        <v/>
      </c>
      <c r="Z92" s="46">
        <f>IFERROR(--AND(tblHistory[[#This Row],[Score]]&gt;=70,tblHistory[[#This Row],[SOX S]]&gt;=0.83,tblHistory[[#This Row],[AIQ S]]&gt;=0.8),0)</f>
        <v/>
      </c>
      <c r="AA9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3">
      <c r="A93" s="42" t="n">
        <v>46195</v>
      </c>
      <c r="B93" s="43" t="n">
        <v>30347.0801</v>
      </c>
      <c r="C93" s="43" t="n">
        <v>14634.7197</v>
      </c>
      <c r="D93" s="43" t="n">
        <v>67.09</v>
      </c>
      <c r="E93" s="43" t="n">
        <v>32.3415</v>
      </c>
      <c r="F93" s="44" t="n">
        <v>93</v>
      </c>
      <c r="G93" s="44" t="n">
        <v>947</v>
      </c>
      <c r="H93" s="43" t="n">
        <v>11.5828</v>
      </c>
      <c r="I93" s="43" t="n">
        <v>19.9148</v>
      </c>
      <c r="J93" s="44" t="n">
        <v>265</v>
      </c>
      <c r="K9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3" s="46">
        <f>(Dashboard!$C$13*tblHistory[[#This Row],[NDX S]]+Dashboard!$C$14*tblHistory[[#This Row],[SOX S]]+Dashboard!$C$15*tblHistory[[#This Row],[AIQ S]])/(Dashboard!$C$13+Dashboard!$C$14+Dashboard!$C$15)*100</f>
        <v/>
      </c>
      <c r="U93" s="46">
        <f>(Dashboard!$C$16*tblHistory[[#This Row],[DTCR S]]+Dashboard!$C$17*tblHistory[[#This Row],[BBB S]]+Dashboard!$C$18*tblHistory[[#This Row],[CCC S]])/(Dashboard!$C$16+Dashboard!$C$17+Dashboard!$C$18)*100</f>
        <v/>
      </c>
      <c r="V93" s="46">
        <f>(Dashboard!$C$19*tblHistory[[#This Row],[BIZD S]]+Dashboard!$C$20*tblHistory[[#This Row],[BKLN S]]+Dashboard!$C$21*tblHistory[[#This Row],[HY S]])/(Dashboard!$C$19+Dashboard!$C$20+Dashboard!$C$21)*100</f>
        <v/>
      </c>
      <c r="W9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3" s="46">
        <f>IFERROR(--(tblHistory[[#This Row],[Score]]&gt;=50),0)</f>
        <v/>
      </c>
      <c r="Y93" s="46">
        <f>IFERROR(--AND(tblHistory[[#This Row],[Score]]&gt;=60,OR(AND(tblHistory[[#This Row],[BIZD S]]&gt;=0.8,tblHistory[[#This Row],[BKLN S]]&gt;=0.5),tblHistory[[#This Row],[CCC S]]&gt;=0.8)),0)</f>
        <v/>
      </c>
      <c r="Z93" s="46">
        <f>IFERROR(--AND(tblHistory[[#This Row],[Score]]&gt;=70,tblHistory[[#This Row],[SOX S]]&gt;=0.83,tblHistory[[#This Row],[AIQ S]]&gt;=0.8),0)</f>
        <v/>
      </c>
      <c r="AA9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4">
      <c r="A94" s="42" t="n">
        <v>46191</v>
      </c>
      <c r="B94" s="43" t="n">
        <v>30406.1895</v>
      </c>
      <c r="C94" s="43" t="n">
        <v>14341.7803</v>
      </c>
      <c r="D94" s="43" t="n">
        <v>66.8</v>
      </c>
      <c r="E94" s="43" t="n">
        <v>31.8035</v>
      </c>
      <c r="F94" s="44" t="n">
        <v>93</v>
      </c>
      <c r="G94" s="44" t="n">
        <v>946</v>
      </c>
      <c r="H94" s="43" t="n">
        <v>11.7155</v>
      </c>
      <c r="I94" s="43" t="n">
        <v>19.9138</v>
      </c>
      <c r="J94" s="44" t="n">
        <v>266</v>
      </c>
      <c r="K9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4" s="46">
        <f>(Dashboard!$C$13*tblHistory[[#This Row],[NDX S]]+Dashboard!$C$14*tblHistory[[#This Row],[SOX S]]+Dashboard!$C$15*tblHistory[[#This Row],[AIQ S]])/(Dashboard!$C$13+Dashboard!$C$14+Dashboard!$C$15)*100</f>
        <v/>
      </c>
      <c r="U94" s="46">
        <f>(Dashboard!$C$16*tblHistory[[#This Row],[DTCR S]]+Dashboard!$C$17*tblHistory[[#This Row],[BBB S]]+Dashboard!$C$18*tblHistory[[#This Row],[CCC S]])/(Dashboard!$C$16+Dashboard!$C$17+Dashboard!$C$18)*100</f>
        <v/>
      </c>
      <c r="V94" s="46">
        <f>(Dashboard!$C$19*tblHistory[[#This Row],[BIZD S]]+Dashboard!$C$20*tblHistory[[#This Row],[BKLN S]]+Dashboard!$C$21*tblHistory[[#This Row],[HY S]])/(Dashboard!$C$19+Dashboard!$C$20+Dashboard!$C$21)*100</f>
        <v/>
      </c>
      <c r="W9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4" s="46">
        <f>IFERROR(--(tblHistory[[#This Row],[Score]]&gt;=50),0)</f>
        <v/>
      </c>
      <c r="Y94" s="46">
        <f>IFERROR(--AND(tblHistory[[#This Row],[Score]]&gt;=60,OR(AND(tblHistory[[#This Row],[BIZD S]]&gt;=0.8,tblHistory[[#This Row],[BKLN S]]&gt;=0.5),tblHistory[[#This Row],[CCC S]]&gt;=0.8)),0)</f>
        <v/>
      </c>
      <c r="Z94" s="46">
        <f>IFERROR(--AND(tblHistory[[#This Row],[Score]]&gt;=70,tblHistory[[#This Row],[SOX S]]&gt;=0.83,tblHistory[[#This Row],[AIQ S]]&gt;=0.8),0)</f>
        <v/>
      </c>
      <c r="AA9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5">
      <c r="A95" s="42" t="n">
        <v>46190</v>
      </c>
      <c r="B95" s="43" t="n">
        <v>29670.9492</v>
      </c>
      <c r="C95" s="43" t="n">
        <v>13477.0703</v>
      </c>
      <c r="D95" s="43" t="n">
        <v>64.33</v>
      </c>
      <c r="E95" s="43" t="n">
        <v>31.2256</v>
      </c>
      <c r="F95" s="44" t="n">
        <v>92</v>
      </c>
      <c r="G95" s="44" t="n">
        <v>939</v>
      </c>
      <c r="H95" s="43" t="n">
        <v>11.6966</v>
      </c>
      <c r="I95" s="43" t="n">
        <v>19.9235</v>
      </c>
      <c r="J95" s="44" t="n">
        <v>263</v>
      </c>
      <c r="K9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5" s="46">
        <f>(Dashboard!$C$13*tblHistory[[#This Row],[NDX S]]+Dashboard!$C$14*tblHistory[[#This Row],[SOX S]]+Dashboard!$C$15*tblHistory[[#This Row],[AIQ S]])/(Dashboard!$C$13+Dashboard!$C$14+Dashboard!$C$15)*100</f>
        <v/>
      </c>
      <c r="U95" s="46">
        <f>(Dashboard!$C$16*tblHistory[[#This Row],[DTCR S]]+Dashboard!$C$17*tblHistory[[#This Row],[BBB S]]+Dashboard!$C$18*tblHistory[[#This Row],[CCC S]])/(Dashboard!$C$16+Dashboard!$C$17+Dashboard!$C$18)*100</f>
        <v/>
      </c>
      <c r="V95" s="46">
        <f>(Dashboard!$C$19*tblHistory[[#This Row],[BIZD S]]+Dashboard!$C$20*tblHistory[[#This Row],[BKLN S]]+Dashboard!$C$21*tblHistory[[#This Row],[HY S]])/(Dashboard!$C$19+Dashboard!$C$20+Dashboard!$C$21)*100</f>
        <v/>
      </c>
      <c r="W9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5" s="46">
        <f>IFERROR(--(tblHistory[[#This Row],[Score]]&gt;=50),0)</f>
        <v/>
      </c>
      <c r="Y95" s="46">
        <f>IFERROR(--AND(tblHistory[[#This Row],[Score]]&gt;=60,OR(AND(tblHistory[[#This Row],[BIZD S]]&gt;=0.8,tblHistory[[#This Row],[BKLN S]]&gt;=0.5),tblHistory[[#This Row],[CCC S]]&gt;=0.8)),0)</f>
        <v/>
      </c>
      <c r="Z95" s="46">
        <f>IFERROR(--AND(tblHistory[[#This Row],[Score]]&gt;=70,tblHistory[[#This Row],[SOX S]]&gt;=0.83,tblHistory[[#This Row],[AIQ S]]&gt;=0.8),0)</f>
        <v/>
      </c>
      <c r="AA9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6">
      <c r="A96" s="42" t="n">
        <v>46189</v>
      </c>
      <c r="B96" s="43" t="n">
        <v>29968.1309</v>
      </c>
      <c r="C96" s="43" t="n">
        <v>13294.2197</v>
      </c>
      <c r="D96" s="43" t="n">
        <v>64.64</v>
      </c>
      <c r="E96" s="43" t="n">
        <v>31.3252</v>
      </c>
      <c r="F96" s="44" t="n">
        <v>93</v>
      </c>
      <c r="G96" s="44" t="n">
        <v>944</v>
      </c>
      <c r="H96" s="43" t="n">
        <v>11.962</v>
      </c>
      <c r="I96" s="43" t="n">
        <v>19.9527</v>
      </c>
      <c r="J96" s="44" t="n">
        <v>271</v>
      </c>
      <c r="K9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6" s="46">
        <f>(Dashboard!$C$13*tblHistory[[#This Row],[NDX S]]+Dashboard!$C$14*tblHistory[[#This Row],[SOX S]]+Dashboard!$C$15*tblHistory[[#This Row],[AIQ S]])/(Dashboard!$C$13+Dashboard!$C$14+Dashboard!$C$15)*100</f>
        <v/>
      </c>
      <c r="U96" s="46">
        <f>(Dashboard!$C$16*tblHistory[[#This Row],[DTCR S]]+Dashboard!$C$17*tblHistory[[#This Row],[BBB S]]+Dashboard!$C$18*tblHistory[[#This Row],[CCC S]])/(Dashboard!$C$16+Dashboard!$C$17+Dashboard!$C$18)*100</f>
        <v/>
      </c>
      <c r="V96" s="46">
        <f>(Dashboard!$C$19*tblHistory[[#This Row],[BIZD S]]+Dashboard!$C$20*tblHistory[[#This Row],[BKLN S]]+Dashboard!$C$21*tblHistory[[#This Row],[HY S]])/(Dashboard!$C$19+Dashboard!$C$20+Dashboard!$C$21)*100</f>
        <v/>
      </c>
      <c r="W9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6" s="46">
        <f>IFERROR(--(tblHistory[[#This Row],[Score]]&gt;=50),0)</f>
        <v/>
      </c>
      <c r="Y96" s="46">
        <f>IFERROR(--AND(tblHistory[[#This Row],[Score]]&gt;=60,OR(AND(tblHistory[[#This Row],[BIZD S]]&gt;=0.8,tblHistory[[#This Row],[BKLN S]]&gt;=0.5),tblHistory[[#This Row],[CCC S]]&gt;=0.8)),0)</f>
        <v/>
      </c>
      <c r="Z96" s="46">
        <f>IFERROR(--AND(tblHistory[[#This Row],[Score]]&gt;=70,tblHistory[[#This Row],[SOX S]]&gt;=0.83,tblHistory[[#This Row],[AIQ S]]&gt;=0.8),0)</f>
        <v/>
      </c>
      <c r="AA9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7">
      <c r="A97" s="42" t="n">
        <v>46188</v>
      </c>
      <c r="B97" s="43" t="n">
        <v>30543.9199</v>
      </c>
      <c r="C97" s="43" t="n">
        <v>14099.6201</v>
      </c>
      <c r="D97" s="43" t="n">
        <v>66.55</v>
      </c>
      <c r="E97" s="43" t="n">
        <v>31.8035</v>
      </c>
      <c r="F97" s="44" t="n">
        <v>92</v>
      </c>
      <c r="G97" s="44" t="n">
        <v>937</v>
      </c>
      <c r="H97" s="43" t="n">
        <v>11.8862</v>
      </c>
      <c r="I97" s="43" t="n">
        <v>19.9138</v>
      </c>
      <c r="J97" s="44" t="n">
        <v>266</v>
      </c>
      <c r="K9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7" s="46">
        <f>(Dashboard!$C$13*tblHistory[[#This Row],[NDX S]]+Dashboard!$C$14*tblHistory[[#This Row],[SOX S]]+Dashboard!$C$15*tblHistory[[#This Row],[AIQ S]])/(Dashboard!$C$13+Dashboard!$C$14+Dashboard!$C$15)*100</f>
        <v/>
      </c>
      <c r="U97" s="46">
        <f>(Dashboard!$C$16*tblHistory[[#This Row],[DTCR S]]+Dashboard!$C$17*tblHistory[[#This Row],[BBB S]]+Dashboard!$C$18*tblHistory[[#This Row],[CCC S]])/(Dashboard!$C$16+Dashboard!$C$17+Dashboard!$C$18)*100</f>
        <v/>
      </c>
      <c r="V97" s="46">
        <f>(Dashboard!$C$19*tblHistory[[#This Row],[BIZD S]]+Dashboard!$C$20*tblHistory[[#This Row],[BKLN S]]+Dashboard!$C$21*tblHistory[[#This Row],[HY S]])/(Dashboard!$C$19+Dashboard!$C$20+Dashboard!$C$21)*100</f>
        <v/>
      </c>
      <c r="W9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7" s="46">
        <f>IFERROR(--(tblHistory[[#This Row],[Score]]&gt;=50),0)</f>
        <v/>
      </c>
      <c r="Y97" s="46">
        <f>IFERROR(--AND(tblHistory[[#This Row],[Score]]&gt;=60,OR(AND(tblHistory[[#This Row],[BIZD S]]&gt;=0.8,tblHistory[[#This Row],[BKLN S]]&gt;=0.5),tblHistory[[#This Row],[CCC S]]&gt;=0.8)),0)</f>
        <v/>
      </c>
      <c r="Z97" s="46">
        <f>IFERROR(--AND(tblHistory[[#This Row],[Score]]&gt;=70,tblHistory[[#This Row],[SOX S]]&gt;=0.83,tblHistory[[#This Row],[AIQ S]]&gt;=0.8),0)</f>
        <v/>
      </c>
      <c r="AA9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8">
      <c r="A98" s="42" t="n">
        <v>46185</v>
      </c>
      <c r="B98" s="43" t="n">
        <v>29635.9492</v>
      </c>
      <c r="C98" s="43" t="n">
        <v>13371.4697</v>
      </c>
      <c r="D98" s="43" t="n">
        <v>64</v>
      </c>
      <c r="E98" s="43" t="n">
        <v>31.0462</v>
      </c>
      <c r="F98" s="44" t="n">
        <v>93</v>
      </c>
      <c r="G98" s="44" t="n">
        <v>948</v>
      </c>
      <c r="H98" s="43" t="n">
        <v>12.0473</v>
      </c>
      <c r="I98" s="43" t="n">
        <v>19.8846</v>
      </c>
      <c r="J98" s="44" t="n">
        <v>271</v>
      </c>
      <c r="K9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8" s="46">
        <f>(Dashboard!$C$13*tblHistory[[#This Row],[NDX S]]+Dashboard!$C$14*tblHistory[[#This Row],[SOX S]]+Dashboard!$C$15*tblHistory[[#This Row],[AIQ S]])/(Dashboard!$C$13+Dashboard!$C$14+Dashboard!$C$15)*100</f>
        <v/>
      </c>
      <c r="U98" s="46">
        <f>(Dashboard!$C$16*tblHistory[[#This Row],[DTCR S]]+Dashboard!$C$17*tblHistory[[#This Row],[BBB S]]+Dashboard!$C$18*tblHistory[[#This Row],[CCC S]])/(Dashboard!$C$16+Dashboard!$C$17+Dashboard!$C$18)*100</f>
        <v/>
      </c>
      <c r="V98" s="46">
        <f>(Dashboard!$C$19*tblHistory[[#This Row],[BIZD S]]+Dashboard!$C$20*tblHistory[[#This Row],[BKLN S]]+Dashboard!$C$21*tblHistory[[#This Row],[HY S]])/(Dashboard!$C$19+Dashboard!$C$20+Dashboard!$C$21)*100</f>
        <v/>
      </c>
      <c r="W9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8" s="46">
        <f>IFERROR(--(tblHistory[[#This Row],[Score]]&gt;=50),0)</f>
        <v/>
      </c>
      <c r="Y98" s="46">
        <f>IFERROR(--AND(tblHistory[[#This Row],[Score]]&gt;=60,OR(AND(tblHistory[[#This Row],[BIZD S]]&gt;=0.8,tblHistory[[#This Row],[BKLN S]]&gt;=0.5),tblHistory[[#This Row],[CCC S]]&gt;=0.8)),0)</f>
        <v/>
      </c>
      <c r="Z98" s="46">
        <f>IFERROR(--AND(tblHistory[[#This Row],[Score]]&gt;=70,tblHistory[[#This Row],[SOX S]]&gt;=0.83,tblHistory[[#This Row],[AIQ S]]&gt;=0.8),0)</f>
        <v/>
      </c>
      <c r="AA9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99">
      <c r="A99" s="42" t="n">
        <v>46184</v>
      </c>
      <c r="B99" s="43" t="n">
        <v>29446.1797</v>
      </c>
      <c r="C99" s="43" t="n">
        <v>13171.4404</v>
      </c>
      <c r="D99" s="43" t="n">
        <v>63.95</v>
      </c>
      <c r="E99" s="43" t="n">
        <v>30.9765</v>
      </c>
      <c r="F99" s="44" t="n">
        <v>94</v>
      </c>
      <c r="G99" s="44" t="n">
        <v>956</v>
      </c>
      <c r="H99" s="43" t="n">
        <v>11.962</v>
      </c>
      <c r="I99" s="43" t="n">
        <v>19.8943</v>
      </c>
      <c r="J99" s="44" t="n">
        <v>278</v>
      </c>
      <c r="K9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9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9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9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9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9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9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9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9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99" s="46">
        <f>(Dashboard!$C$13*tblHistory[[#This Row],[NDX S]]+Dashboard!$C$14*tblHistory[[#This Row],[SOX S]]+Dashboard!$C$15*tblHistory[[#This Row],[AIQ S]])/(Dashboard!$C$13+Dashboard!$C$14+Dashboard!$C$15)*100</f>
        <v/>
      </c>
      <c r="U99" s="46">
        <f>(Dashboard!$C$16*tblHistory[[#This Row],[DTCR S]]+Dashboard!$C$17*tblHistory[[#This Row],[BBB S]]+Dashboard!$C$18*tblHistory[[#This Row],[CCC S]])/(Dashboard!$C$16+Dashboard!$C$17+Dashboard!$C$18)*100</f>
        <v/>
      </c>
      <c r="V99" s="46">
        <f>(Dashboard!$C$19*tblHistory[[#This Row],[BIZD S]]+Dashboard!$C$20*tblHistory[[#This Row],[BKLN S]]+Dashboard!$C$21*tblHistory[[#This Row],[HY S]])/(Dashboard!$C$19+Dashboard!$C$20+Dashboard!$C$21)*100</f>
        <v/>
      </c>
      <c r="W9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99" s="46">
        <f>IFERROR(--(tblHistory[[#This Row],[Score]]&gt;=50),0)</f>
        <v/>
      </c>
      <c r="Y99" s="46">
        <f>IFERROR(--AND(tblHistory[[#This Row],[Score]]&gt;=60,OR(AND(tblHistory[[#This Row],[BIZD S]]&gt;=0.8,tblHistory[[#This Row],[BKLN S]]&gt;=0.5),tblHistory[[#This Row],[CCC S]]&gt;=0.8)),0)</f>
        <v/>
      </c>
      <c r="Z99" s="46">
        <f>IFERROR(--AND(tblHistory[[#This Row],[Score]]&gt;=70,tblHistory[[#This Row],[SOX S]]&gt;=0.83,tblHistory[[#This Row],[AIQ S]]&gt;=0.8),0)</f>
        <v/>
      </c>
      <c r="AA9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9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9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9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9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0">
      <c r="A100" s="42" t="n">
        <v>46183</v>
      </c>
      <c r="B100" s="43" t="n">
        <v>28508.0293</v>
      </c>
      <c r="C100" s="43" t="n">
        <v>12206.46</v>
      </c>
      <c r="D100" s="43" t="n">
        <v>61.36</v>
      </c>
      <c r="E100" s="43" t="n">
        <v>29.9104</v>
      </c>
      <c r="F100" s="44" t="n">
        <v>94</v>
      </c>
      <c r="G100" s="44" t="n">
        <v>957</v>
      </c>
      <c r="H100" s="43" t="n">
        <v>11.9525</v>
      </c>
      <c r="I100" s="43" t="n">
        <v>19.8749</v>
      </c>
      <c r="J100" s="44" t="n">
        <v>280</v>
      </c>
      <c r="K10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0" s="46">
        <f>(Dashboard!$C$13*tblHistory[[#This Row],[NDX S]]+Dashboard!$C$14*tblHistory[[#This Row],[SOX S]]+Dashboard!$C$15*tblHistory[[#This Row],[AIQ S]])/(Dashboard!$C$13+Dashboard!$C$14+Dashboard!$C$15)*100</f>
        <v/>
      </c>
      <c r="U100" s="46">
        <f>(Dashboard!$C$16*tblHistory[[#This Row],[DTCR S]]+Dashboard!$C$17*tblHistory[[#This Row],[BBB S]]+Dashboard!$C$18*tblHistory[[#This Row],[CCC S]])/(Dashboard!$C$16+Dashboard!$C$17+Dashboard!$C$18)*100</f>
        <v/>
      </c>
      <c r="V100" s="46">
        <f>(Dashboard!$C$19*tblHistory[[#This Row],[BIZD S]]+Dashboard!$C$20*tblHistory[[#This Row],[BKLN S]]+Dashboard!$C$21*tblHistory[[#This Row],[HY S]])/(Dashboard!$C$19+Dashboard!$C$20+Dashboard!$C$21)*100</f>
        <v/>
      </c>
      <c r="W10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0" s="46">
        <f>IFERROR(--(tblHistory[[#This Row],[Score]]&gt;=50),0)</f>
        <v/>
      </c>
      <c r="Y100" s="46">
        <f>IFERROR(--AND(tblHistory[[#This Row],[Score]]&gt;=60,OR(AND(tblHistory[[#This Row],[BIZD S]]&gt;=0.8,tblHistory[[#This Row],[BKLN S]]&gt;=0.5),tblHistory[[#This Row],[CCC S]]&gt;=0.8)),0)</f>
        <v/>
      </c>
      <c r="Z100" s="46">
        <f>IFERROR(--AND(tblHistory[[#This Row],[Score]]&gt;=70,tblHistory[[#This Row],[SOX S]]&gt;=0.83,tblHistory[[#This Row],[AIQ S]]&gt;=0.8),0)</f>
        <v/>
      </c>
      <c r="AA10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1">
      <c r="A101" s="42" t="n">
        <v>46182</v>
      </c>
      <c r="B101" s="43" t="n">
        <v>29084.5</v>
      </c>
      <c r="C101" s="43" t="n">
        <v>12657.8096</v>
      </c>
      <c r="D101" s="43" t="n">
        <v>63.16</v>
      </c>
      <c r="E101" s="43" t="n">
        <v>30.7972</v>
      </c>
      <c r="F101" s="44" t="n">
        <v>93</v>
      </c>
      <c r="G101" s="44" t="n">
        <v>951</v>
      </c>
      <c r="H101" s="43" t="n">
        <v>11.9335</v>
      </c>
      <c r="I101" s="43" t="n">
        <v>19.9235</v>
      </c>
      <c r="J101" s="44" t="n">
        <v>278</v>
      </c>
      <c r="K10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1" s="46">
        <f>(Dashboard!$C$13*tblHistory[[#This Row],[NDX S]]+Dashboard!$C$14*tblHistory[[#This Row],[SOX S]]+Dashboard!$C$15*tblHistory[[#This Row],[AIQ S]])/(Dashboard!$C$13+Dashboard!$C$14+Dashboard!$C$15)*100</f>
        <v/>
      </c>
      <c r="U101" s="46">
        <f>(Dashboard!$C$16*tblHistory[[#This Row],[DTCR S]]+Dashboard!$C$17*tblHistory[[#This Row],[BBB S]]+Dashboard!$C$18*tblHistory[[#This Row],[CCC S]])/(Dashboard!$C$16+Dashboard!$C$17+Dashboard!$C$18)*100</f>
        <v/>
      </c>
      <c r="V101" s="46">
        <f>(Dashboard!$C$19*tblHistory[[#This Row],[BIZD S]]+Dashboard!$C$20*tblHistory[[#This Row],[BKLN S]]+Dashboard!$C$21*tblHistory[[#This Row],[HY S]])/(Dashboard!$C$19+Dashboard!$C$20+Dashboard!$C$21)*100</f>
        <v/>
      </c>
      <c r="W10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1" s="46">
        <f>IFERROR(--(tblHistory[[#This Row],[Score]]&gt;=50),0)</f>
        <v/>
      </c>
      <c r="Y101" s="46">
        <f>IFERROR(--AND(tblHistory[[#This Row],[Score]]&gt;=60,OR(AND(tblHistory[[#This Row],[BIZD S]]&gt;=0.8,tblHistory[[#This Row],[BKLN S]]&gt;=0.5),tblHistory[[#This Row],[CCC S]]&gt;=0.8)),0)</f>
        <v/>
      </c>
      <c r="Z101" s="46">
        <f>IFERROR(--AND(tblHistory[[#This Row],[Score]]&gt;=70,tblHistory[[#This Row],[SOX S]]&gt;=0.83,tblHistory[[#This Row],[AIQ S]]&gt;=0.8),0)</f>
        <v/>
      </c>
      <c r="AA10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2">
      <c r="A102" s="42" t="n">
        <v>46181</v>
      </c>
      <c r="B102" s="43" t="n">
        <v>29414.2598</v>
      </c>
      <c r="C102" s="43" t="n">
        <v>12906.6904</v>
      </c>
      <c r="D102" s="43" t="n">
        <v>64.44</v>
      </c>
      <c r="E102" s="43" t="n">
        <v>30.8669</v>
      </c>
      <c r="F102" s="44" t="n">
        <v>93</v>
      </c>
      <c r="G102" s="44" t="n">
        <v>949</v>
      </c>
      <c r="H102" s="43" t="n">
        <v>11.8008</v>
      </c>
      <c r="I102" s="43" t="n">
        <v>19.9138</v>
      </c>
      <c r="J102" s="44" t="n">
        <v>275</v>
      </c>
      <c r="K10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2" s="46">
        <f>(Dashboard!$C$13*tblHistory[[#This Row],[NDX S]]+Dashboard!$C$14*tblHistory[[#This Row],[SOX S]]+Dashboard!$C$15*tblHistory[[#This Row],[AIQ S]])/(Dashboard!$C$13+Dashboard!$C$14+Dashboard!$C$15)*100</f>
        <v/>
      </c>
      <c r="U102" s="46">
        <f>(Dashboard!$C$16*tblHistory[[#This Row],[DTCR S]]+Dashboard!$C$17*tblHistory[[#This Row],[BBB S]]+Dashboard!$C$18*tblHistory[[#This Row],[CCC S]])/(Dashboard!$C$16+Dashboard!$C$17+Dashboard!$C$18)*100</f>
        <v/>
      </c>
      <c r="V102" s="46">
        <f>(Dashboard!$C$19*tblHistory[[#This Row],[BIZD S]]+Dashboard!$C$20*tblHistory[[#This Row],[BKLN S]]+Dashboard!$C$21*tblHistory[[#This Row],[HY S]])/(Dashboard!$C$19+Dashboard!$C$20+Dashboard!$C$21)*100</f>
        <v/>
      </c>
      <c r="W10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2" s="46">
        <f>IFERROR(--(tblHistory[[#This Row],[Score]]&gt;=50),0)</f>
        <v/>
      </c>
      <c r="Y102" s="46">
        <f>IFERROR(--AND(tblHistory[[#This Row],[Score]]&gt;=60,OR(AND(tblHistory[[#This Row],[BIZD S]]&gt;=0.8,tblHistory[[#This Row],[BKLN S]]&gt;=0.5),tblHistory[[#This Row],[CCC S]]&gt;=0.8)),0)</f>
        <v/>
      </c>
      <c r="Z102" s="46">
        <f>IFERROR(--AND(tblHistory[[#This Row],[Score]]&gt;=70,tblHistory[[#This Row],[SOX S]]&gt;=0.83,tblHistory[[#This Row],[AIQ S]]&gt;=0.8),0)</f>
        <v/>
      </c>
      <c r="AA10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3">
      <c r="A103" s="42" t="n">
        <v>46178</v>
      </c>
      <c r="B103" s="43" t="n">
        <v>28957.5996</v>
      </c>
      <c r="C103" s="43" t="n">
        <v>12220.7598</v>
      </c>
      <c r="D103" s="43" t="n">
        <v>62.52</v>
      </c>
      <c r="E103" s="43" t="n">
        <v>30.5281</v>
      </c>
      <c r="F103" s="44" t="n">
        <v>93</v>
      </c>
      <c r="G103" s="44" t="n">
        <v>952</v>
      </c>
      <c r="H103" s="43" t="n">
        <v>11.8388</v>
      </c>
      <c r="I103" s="43" t="n">
        <v>19.9138</v>
      </c>
      <c r="J103" s="44" t="n">
        <v>276</v>
      </c>
      <c r="K10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3" s="46">
        <f>(Dashboard!$C$13*tblHistory[[#This Row],[NDX S]]+Dashboard!$C$14*tblHistory[[#This Row],[SOX S]]+Dashboard!$C$15*tblHistory[[#This Row],[AIQ S]])/(Dashboard!$C$13+Dashboard!$C$14+Dashboard!$C$15)*100</f>
        <v/>
      </c>
      <c r="U103" s="46">
        <f>(Dashboard!$C$16*tblHistory[[#This Row],[DTCR S]]+Dashboard!$C$17*tblHistory[[#This Row],[BBB S]]+Dashboard!$C$18*tblHistory[[#This Row],[CCC S]])/(Dashboard!$C$16+Dashboard!$C$17+Dashboard!$C$18)*100</f>
        <v/>
      </c>
      <c r="V103" s="46">
        <f>(Dashboard!$C$19*tblHistory[[#This Row],[BIZD S]]+Dashboard!$C$20*tblHistory[[#This Row],[BKLN S]]+Dashboard!$C$21*tblHistory[[#This Row],[HY S]])/(Dashboard!$C$19+Dashboard!$C$20+Dashboard!$C$21)*100</f>
        <v/>
      </c>
      <c r="W10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3" s="46">
        <f>IFERROR(--(tblHistory[[#This Row],[Score]]&gt;=50),0)</f>
        <v/>
      </c>
      <c r="Y103" s="46">
        <f>IFERROR(--AND(tblHistory[[#This Row],[Score]]&gt;=60,OR(AND(tblHistory[[#This Row],[BIZD S]]&gt;=0.8,tblHistory[[#This Row],[BKLN S]]&gt;=0.5),tblHistory[[#This Row],[CCC S]]&gt;=0.8)),0)</f>
        <v/>
      </c>
      <c r="Z103" s="46">
        <f>IFERROR(--AND(tblHistory[[#This Row],[Score]]&gt;=70,tblHistory[[#This Row],[SOX S]]&gt;=0.83,tblHistory[[#This Row],[AIQ S]]&gt;=0.8),0)</f>
        <v/>
      </c>
      <c r="AA10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4">
      <c r="A104" s="42" t="n">
        <v>46177</v>
      </c>
      <c r="B104" s="43" t="n">
        <v>30407.8105</v>
      </c>
      <c r="C104" s="43" t="n">
        <v>13617.5</v>
      </c>
      <c r="D104" s="43" t="n">
        <v>68.06999999999999</v>
      </c>
      <c r="E104" s="43" t="n">
        <v>32.3116</v>
      </c>
      <c r="F104" s="44" t="n">
        <v>93</v>
      </c>
      <c r="G104" s="44" t="n">
        <v>946</v>
      </c>
      <c r="H104" s="43" t="n">
        <v>12.0378</v>
      </c>
      <c r="I104" s="43" t="n">
        <v>19.9527</v>
      </c>
      <c r="J104" s="44" t="n">
        <v>274</v>
      </c>
      <c r="K10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4" s="46">
        <f>(Dashboard!$C$13*tblHistory[[#This Row],[NDX S]]+Dashboard!$C$14*tblHistory[[#This Row],[SOX S]]+Dashboard!$C$15*tblHistory[[#This Row],[AIQ S]])/(Dashboard!$C$13+Dashboard!$C$14+Dashboard!$C$15)*100</f>
        <v/>
      </c>
      <c r="U104" s="46">
        <f>(Dashboard!$C$16*tblHistory[[#This Row],[DTCR S]]+Dashboard!$C$17*tblHistory[[#This Row],[BBB S]]+Dashboard!$C$18*tblHistory[[#This Row],[CCC S]])/(Dashboard!$C$16+Dashboard!$C$17+Dashboard!$C$18)*100</f>
        <v/>
      </c>
      <c r="V104" s="46">
        <f>(Dashboard!$C$19*tblHistory[[#This Row],[BIZD S]]+Dashboard!$C$20*tblHistory[[#This Row],[BKLN S]]+Dashboard!$C$21*tblHistory[[#This Row],[HY S]])/(Dashboard!$C$19+Dashboard!$C$20+Dashboard!$C$21)*100</f>
        <v/>
      </c>
      <c r="W10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4" s="46">
        <f>IFERROR(--(tblHistory[[#This Row],[Score]]&gt;=50),0)</f>
        <v/>
      </c>
      <c r="Y104" s="46">
        <f>IFERROR(--AND(tblHistory[[#This Row],[Score]]&gt;=60,OR(AND(tblHistory[[#This Row],[BIZD S]]&gt;=0.8,tblHistory[[#This Row],[BKLN S]]&gt;=0.5),tblHistory[[#This Row],[CCC S]]&gt;=0.8)),0)</f>
        <v/>
      </c>
      <c r="Z104" s="46">
        <f>IFERROR(--AND(tblHistory[[#This Row],[Score]]&gt;=70,tblHistory[[#This Row],[SOX S]]&gt;=0.83,tblHistory[[#This Row],[AIQ S]]&gt;=0.8),0)</f>
        <v/>
      </c>
      <c r="AA10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5">
      <c r="A105" s="42" t="n">
        <v>46176</v>
      </c>
      <c r="B105" s="43" t="n">
        <v>30571.2402</v>
      </c>
      <c r="C105" s="43" t="n">
        <v>13916.96</v>
      </c>
      <c r="D105" s="43" t="n">
        <v>69.16</v>
      </c>
      <c r="E105" s="43" t="n">
        <v>32.0725</v>
      </c>
      <c r="F105" s="44" t="n">
        <v>93</v>
      </c>
      <c r="G105" s="44" t="n">
        <v>947</v>
      </c>
      <c r="H105" s="43" t="n">
        <v>11.7724</v>
      </c>
      <c r="I105" s="43" t="n">
        <v>19.9625</v>
      </c>
      <c r="J105" s="44" t="n">
        <v>275</v>
      </c>
      <c r="K10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5" s="46">
        <f>(Dashboard!$C$13*tblHistory[[#This Row],[NDX S]]+Dashboard!$C$14*tblHistory[[#This Row],[SOX S]]+Dashboard!$C$15*tblHistory[[#This Row],[AIQ S]])/(Dashboard!$C$13+Dashboard!$C$14+Dashboard!$C$15)*100</f>
        <v/>
      </c>
      <c r="U105" s="46">
        <f>(Dashboard!$C$16*tblHistory[[#This Row],[DTCR S]]+Dashboard!$C$17*tblHistory[[#This Row],[BBB S]]+Dashboard!$C$18*tblHistory[[#This Row],[CCC S]])/(Dashboard!$C$16+Dashboard!$C$17+Dashboard!$C$18)*100</f>
        <v/>
      </c>
      <c r="V105" s="46">
        <f>(Dashboard!$C$19*tblHistory[[#This Row],[BIZD S]]+Dashboard!$C$20*tblHistory[[#This Row],[BKLN S]]+Dashboard!$C$21*tblHistory[[#This Row],[HY S]])/(Dashboard!$C$19+Dashboard!$C$20+Dashboard!$C$21)*100</f>
        <v/>
      </c>
      <c r="W10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5" s="46">
        <f>IFERROR(--(tblHistory[[#This Row],[Score]]&gt;=50),0)</f>
        <v/>
      </c>
      <c r="Y105" s="46">
        <f>IFERROR(--AND(tblHistory[[#This Row],[Score]]&gt;=60,OR(AND(tblHistory[[#This Row],[BIZD S]]&gt;=0.8,tblHistory[[#This Row],[BKLN S]]&gt;=0.5),tblHistory[[#This Row],[CCC S]]&gt;=0.8)),0)</f>
        <v/>
      </c>
      <c r="Z105" s="46">
        <f>IFERROR(--AND(tblHistory[[#This Row],[Score]]&gt;=70,tblHistory[[#This Row],[SOX S]]&gt;=0.83,tblHistory[[#This Row],[AIQ S]]&gt;=0.8),0)</f>
        <v/>
      </c>
      <c r="AA10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6">
      <c r="A106" s="42" t="n">
        <v>46175</v>
      </c>
      <c r="B106" s="43" t="n">
        <v>30660.5996</v>
      </c>
      <c r="C106" s="43" t="n">
        <v>13726.2695</v>
      </c>
      <c r="D106" s="43" t="n">
        <v>70.14</v>
      </c>
      <c r="E106" s="43" t="n">
        <v>32.3116</v>
      </c>
      <c r="F106" s="44" t="n">
        <v>92</v>
      </c>
      <c r="G106" s="44" t="n">
        <v>944</v>
      </c>
      <c r="H106" s="43" t="n">
        <v>12.0473</v>
      </c>
      <c r="I106" s="43" t="n">
        <v>19.9625</v>
      </c>
      <c r="J106" s="44" t="n">
        <v>271</v>
      </c>
      <c r="K10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6" s="46">
        <f>(Dashboard!$C$13*tblHistory[[#This Row],[NDX S]]+Dashboard!$C$14*tblHistory[[#This Row],[SOX S]]+Dashboard!$C$15*tblHistory[[#This Row],[AIQ S]])/(Dashboard!$C$13+Dashboard!$C$14+Dashboard!$C$15)*100</f>
        <v/>
      </c>
      <c r="U106" s="46">
        <f>(Dashboard!$C$16*tblHistory[[#This Row],[DTCR S]]+Dashboard!$C$17*tblHistory[[#This Row],[BBB S]]+Dashboard!$C$18*tblHistory[[#This Row],[CCC S]])/(Dashboard!$C$16+Dashboard!$C$17+Dashboard!$C$18)*100</f>
        <v/>
      </c>
      <c r="V106" s="46">
        <f>(Dashboard!$C$19*tblHistory[[#This Row],[BIZD S]]+Dashboard!$C$20*tblHistory[[#This Row],[BKLN S]]+Dashboard!$C$21*tblHistory[[#This Row],[HY S]])/(Dashboard!$C$19+Dashboard!$C$20+Dashboard!$C$21)*100</f>
        <v/>
      </c>
      <c r="W10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6" s="46">
        <f>IFERROR(--(tblHistory[[#This Row],[Score]]&gt;=50),0)</f>
        <v/>
      </c>
      <c r="Y106" s="46">
        <f>IFERROR(--AND(tblHistory[[#This Row],[Score]]&gt;=60,OR(AND(tblHistory[[#This Row],[BIZD S]]&gt;=0.8,tblHistory[[#This Row],[BKLN S]]&gt;=0.5),tblHistory[[#This Row],[CCC S]]&gt;=0.8)),0)</f>
        <v/>
      </c>
      <c r="Z106" s="46">
        <f>IFERROR(--AND(tblHistory[[#This Row],[Score]]&gt;=70,tblHistory[[#This Row],[SOX S]]&gt;=0.83,tblHistory[[#This Row],[AIQ S]]&gt;=0.8),0)</f>
        <v/>
      </c>
      <c r="AA10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7">
      <c r="A107" s="42" t="n">
        <v>46174</v>
      </c>
      <c r="B107" s="43" t="n">
        <v>30513.8594</v>
      </c>
      <c r="C107" s="43" t="n">
        <v>12965.6504</v>
      </c>
      <c r="D107" s="43" t="n">
        <v>69.44</v>
      </c>
      <c r="E107" s="43" t="n">
        <v>31.6341</v>
      </c>
      <c r="F107" s="44" t="n">
        <v>92</v>
      </c>
      <c r="G107" s="44" t="n">
        <v>946</v>
      </c>
      <c r="H107" s="43" t="n">
        <v>12.1326</v>
      </c>
      <c r="I107" s="43" t="n">
        <v>19.9625</v>
      </c>
      <c r="J107" s="44" t="n">
        <v>272</v>
      </c>
      <c r="K10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7" s="46">
        <f>(Dashboard!$C$13*tblHistory[[#This Row],[NDX S]]+Dashboard!$C$14*tblHistory[[#This Row],[SOX S]]+Dashboard!$C$15*tblHistory[[#This Row],[AIQ S]])/(Dashboard!$C$13+Dashboard!$C$14+Dashboard!$C$15)*100</f>
        <v/>
      </c>
      <c r="U107" s="46">
        <f>(Dashboard!$C$16*tblHistory[[#This Row],[DTCR S]]+Dashboard!$C$17*tblHistory[[#This Row],[BBB S]]+Dashboard!$C$18*tblHistory[[#This Row],[CCC S]])/(Dashboard!$C$16+Dashboard!$C$17+Dashboard!$C$18)*100</f>
        <v/>
      </c>
      <c r="V107" s="46">
        <f>(Dashboard!$C$19*tblHistory[[#This Row],[BIZD S]]+Dashboard!$C$20*tblHistory[[#This Row],[BKLN S]]+Dashboard!$C$21*tblHistory[[#This Row],[HY S]])/(Dashboard!$C$19+Dashboard!$C$20+Dashboard!$C$21)*100</f>
        <v/>
      </c>
      <c r="W10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7" s="46">
        <f>IFERROR(--(tblHistory[[#This Row],[Score]]&gt;=50),0)</f>
        <v/>
      </c>
      <c r="Y107" s="46">
        <f>IFERROR(--AND(tblHistory[[#This Row],[Score]]&gt;=60,OR(AND(tblHistory[[#This Row],[BIZD S]]&gt;=0.8,tblHistory[[#This Row],[BKLN S]]&gt;=0.5),tblHistory[[#This Row],[CCC S]]&gt;=0.8)),0)</f>
        <v/>
      </c>
      <c r="Z107" s="46">
        <f>IFERROR(--AND(tblHistory[[#This Row],[Score]]&gt;=70,tblHistory[[#This Row],[SOX S]]&gt;=0.83,tblHistory[[#This Row],[AIQ S]]&gt;=0.8),0)</f>
        <v/>
      </c>
      <c r="AA10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8">
      <c r="A108" s="42" t="n">
        <v>46171</v>
      </c>
      <c r="B108" s="43" t="n">
        <v>30333.1797</v>
      </c>
      <c r="C108" s="43" t="n">
        <v>12829.3799</v>
      </c>
      <c r="D108" s="43" t="n">
        <v>67.31999999999999</v>
      </c>
      <c r="E108" s="43" t="n">
        <v>31.4747</v>
      </c>
      <c r="F108" s="44" t="n">
        <v>92</v>
      </c>
      <c r="G108" s="44" t="n">
        <v>938</v>
      </c>
      <c r="H108" s="43" t="n">
        <v>11.9715</v>
      </c>
      <c r="I108" s="43" t="n">
        <v>19.9235</v>
      </c>
      <c r="J108" s="44" t="n">
        <v>272</v>
      </c>
      <c r="K10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8" s="46">
        <f>(Dashboard!$C$13*tblHistory[[#This Row],[NDX S]]+Dashboard!$C$14*tblHistory[[#This Row],[SOX S]]+Dashboard!$C$15*tblHistory[[#This Row],[AIQ S]])/(Dashboard!$C$13+Dashboard!$C$14+Dashboard!$C$15)*100</f>
        <v/>
      </c>
      <c r="U108" s="46">
        <f>(Dashboard!$C$16*tblHistory[[#This Row],[DTCR S]]+Dashboard!$C$17*tblHistory[[#This Row],[BBB S]]+Dashboard!$C$18*tblHistory[[#This Row],[CCC S]])/(Dashboard!$C$16+Dashboard!$C$17+Dashboard!$C$18)*100</f>
        <v/>
      </c>
      <c r="V108" s="46">
        <f>(Dashboard!$C$19*tblHistory[[#This Row],[BIZD S]]+Dashboard!$C$20*tblHistory[[#This Row],[BKLN S]]+Dashboard!$C$21*tblHistory[[#This Row],[HY S]])/(Dashboard!$C$19+Dashboard!$C$20+Dashboard!$C$21)*100</f>
        <v/>
      </c>
      <c r="W10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8" s="46">
        <f>IFERROR(--(tblHistory[[#This Row],[Score]]&gt;=50),0)</f>
        <v/>
      </c>
      <c r="Y108" s="46">
        <f>IFERROR(--AND(tblHistory[[#This Row],[Score]]&gt;=60,OR(AND(tblHistory[[#This Row],[BIZD S]]&gt;=0.8,tblHistory[[#This Row],[BKLN S]]&gt;=0.5),tblHistory[[#This Row],[CCC S]]&gt;=0.8)),0)</f>
        <v/>
      </c>
      <c r="Z108" s="46">
        <f>IFERROR(--AND(tblHistory[[#This Row],[Score]]&gt;=70,tblHistory[[#This Row],[SOX S]]&gt;=0.83,tblHistory[[#This Row],[AIQ S]]&gt;=0.8),0)</f>
        <v/>
      </c>
      <c r="AA10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09">
      <c r="A109" s="42" t="n">
        <v>46170</v>
      </c>
      <c r="B109" s="43" t="n">
        <v>30223.8906</v>
      </c>
      <c r="C109" s="43" t="n">
        <v>12829.1396</v>
      </c>
      <c r="D109" s="43" t="n">
        <v>66.34</v>
      </c>
      <c r="E109" s="43" t="n">
        <v>31.5345</v>
      </c>
      <c r="F109" s="44" t="n">
        <v>93</v>
      </c>
      <c r="G109" s="44" t="n">
        <v>935</v>
      </c>
      <c r="H109" s="43" t="n">
        <v>11.9335</v>
      </c>
      <c r="I109" s="43" t="n">
        <v>19.943</v>
      </c>
      <c r="J109" s="44" t="n">
        <v>272</v>
      </c>
      <c r="K10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0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0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0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0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0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0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0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0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09" s="46">
        <f>(Dashboard!$C$13*tblHistory[[#This Row],[NDX S]]+Dashboard!$C$14*tblHistory[[#This Row],[SOX S]]+Dashboard!$C$15*tblHistory[[#This Row],[AIQ S]])/(Dashboard!$C$13+Dashboard!$C$14+Dashboard!$C$15)*100</f>
        <v/>
      </c>
      <c r="U109" s="46">
        <f>(Dashboard!$C$16*tblHistory[[#This Row],[DTCR S]]+Dashboard!$C$17*tblHistory[[#This Row],[BBB S]]+Dashboard!$C$18*tblHistory[[#This Row],[CCC S]])/(Dashboard!$C$16+Dashboard!$C$17+Dashboard!$C$18)*100</f>
        <v/>
      </c>
      <c r="V109" s="46">
        <f>(Dashboard!$C$19*tblHistory[[#This Row],[BIZD S]]+Dashboard!$C$20*tblHistory[[#This Row],[BKLN S]]+Dashboard!$C$21*tblHistory[[#This Row],[HY S]])/(Dashboard!$C$19+Dashboard!$C$20+Dashboard!$C$21)*100</f>
        <v/>
      </c>
      <c r="W10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09" s="46">
        <f>IFERROR(--(tblHistory[[#This Row],[Score]]&gt;=50),0)</f>
        <v/>
      </c>
      <c r="Y109" s="46">
        <f>IFERROR(--AND(tblHistory[[#This Row],[Score]]&gt;=60,OR(AND(tblHistory[[#This Row],[BIZD S]]&gt;=0.8,tblHistory[[#This Row],[BKLN S]]&gt;=0.5),tblHistory[[#This Row],[CCC S]]&gt;=0.8)),0)</f>
        <v/>
      </c>
      <c r="Z109" s="46">
        <f>IFERROR(--AND(tblHistory[[#This Row],[Score]]&gt;=70,tblHistory[[#This Row],[SOX S]]&gt;=0.83,tblHistory[[#This Row],[AIQ S]]&gt;=0.8),0)</f>
        <v/>
      </c>
      <c r="AA10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0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0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0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0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0">
      <c r="A110" s="42" t="n">
        <v>46169</v>
      </c>
      <c r="B110" s="43" t="n">
        <v>29973.5703</v>
      </c>
      <c r="C110" s="43" t="n">
        <v>12702.1904</v>
      </c>
      <c r="D110" s="43" t="n">
        <v>65.09999999999999</v>
      </c>
      <c r="E110" s="43" t="n">
        <v>31.1459</v>
      </c>
      <c r="F110" s="44" t="n">
        <v>93</v>
      </c>
      <c r="G110" s="44" t="n">
        <v>936</v>
      </c>
      <c r="H110" s="43" t="n">
        <v>11.9146</v>
      </c>
      <c r="I110" s="43" t="n">
        <v>19.9527</v>
      </c>
      <c r="J110" s="44" t="n">
        <v>271</v>
      </c>
      <c r="K11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0" s="46">
        <f>(Dashboard!$C$13*tblHistory[[#This Row],[NDX S]]+Dashboard!$C$14*tblHistory[[#This Row],[SOX S]]+Dashboard!$C$15*tblHistory[[#This Row],[AIQ S]])/(Dashboard!$C$13+Dashboard!$C$14+Dashboard!$C$15)*100</f>
        <v/>
      </c>
      <c r="U110" s="46">
        <f>(Dashboard!$C$16*tblHistory[[#This Row],[DTCR S]]+Dashboard!$C$17*tblHistory[[#This Row],[BBB S]]+Dashboard!$C$18*tblHistory[[#This Row],[CCC S]])/(Dashboard!$C$16+Dashboard!$C$17+Dashboard!$C$18)*100</f>
        <v/>
      </c>
      <c r="V110" s="46">
        <f>(Dashboard!$C$19*tblHistory[[#This Row],[BIZD S]]+Dashboard!$C$20*tblHistory[[#This Row],[BKLN S]]+Dashboard!$C$21*tblHistory[[#This Row],[HY S]])/(Dashboard!$C$19+Dashboard!$C$20+Dashboard!$C$21)*100</f>
        <v/>
      </c>
      <c r="W11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0" s="46">
        <f>IFERROR(--(tblHistory[[#This Row],[Score]]&gt;=50),0)</f>
        <v/>
      </c>
      <c r="Y110" s="46">
        <f>IFERROR(--AND(tblHistory[[#This Row],[Score]]&gt;=60,OR(AND(tblHistory[[#This Row],[BIZD S]]&gt;=0.8,tblHistory[[#This Row],[BKLN S]]&gt;=0.5),tblHistory[[#This Row],[CCC S]]&gt;=0.8)),0)</f>
        <v/>
      </c>
      <c r="Z110" s="46">
        <f>IFERROR(--AND(tblHistory[[#This Row],[Score]]&gt;=70,tblHistory[[#This Row],[SOX S]]&gt;=0.83,tblHistory[[#This Row],[AIQ S]]&gt;=0.8),0)</f>
        <v/>
      </c>
      <c r="AA11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1">
      <c r="A111" s="42" t="n">
        <v>46168</v>
      </c>
      <c r="B111" s="43" t="n">
        <v>30001.3203</v>
      </c>
      <c r="C111" s="43" t="n">
        <v>12876.9102</v>
      </c>
      <c r="D111" s="43" t="n">
        <v>65.2</v>
      </c>
      <c r="E111" s="43" t="n">
        <v>31.0064</v>
      </c>
      <c r="F111" s="44" t="n">
        <v>93</v>
      </c>
      <c r="G111" s="44" t="n">
        <v>935</v>
      </c>
      <c r="H111" s="43" t="n">
        <v>11.9146</v>
      </c>
      <c r="I111" s="43" t="n">
        <v>19.9333</v>
      </c>
      <c r="J111" s="44" t="n">
        <v>272</v>
      </c>
      <c r="K11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1" s="46">
        <f>(Dashboard!$C$13*tblHistory[[#This Row],[NDX S]]+Dashboard!$C$14*tblHistory[[#This Row],[SOX S]]+Dashboard!$C$15*tblHistory[[#This Row],[AIQ S]])/(Dashboard!$C$13+Dashboard!$C$14+Dashboard!$C$15)*100</f>
        <v/>
      </c>
      <c r="U111" s="46">
        <f>(Dashboard!$C$16*tblHistory[[#This Row],[DTCR S]]+Dashboard!$C$17*tblHistory[[#This Row],[BBB S]]+Dashboard!$C$18*tblHistory[[#This Row],[CCC S]])/(Dashboard!$C$16+Dashboard!$C$17+Dashboard!$C$18)*100</f>
        <v/>
      </c>
      <c r="V111" s="46">
        <f>(Dashboard!$C$19*tblHistory[[#This Row],[BIZD S]]+Dashboard!$C$20*tblHistory[[#This Row],[BKLN S]]+Dashboard!$C$21*tblHistory[[#This Row],[HY S]])/(Dashboard!$C$19+Dashboard!$C$20+Dashboard!$C$21)*100</f>
        <v/>
      </c>
      <c r="W11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1" s="46">
        <f>IFERROR(--(tblHistory[[#This Row],[Score]]&gt;=50),0)</f>
        <v/>
      </c>
      <c r="Y111" s="46">
        <f>IFERROR(--AND(tblHistory[[#This Row],[Score]]&gt;=60,OR(AND(tblHistory[[#This Row],[BIZD S]]&gt;=0.8,tblHistory[[#This Row],[BKLN S]]&gt;=0.5),tblHistory[[#This Row],[CCC S]]&gt;=0.8)),0)</f>
        <v/>
      </c>
      <c r="Z111" s="46">
        <f>IFERROR(--AND(tblHistory[[#This Row],[Score]]&gt;=70,tblHistory[[#This Row],[SOX S]]&gt;=0.83,tblHistory[[#This Row],[AIQ S]]&gt;=0.8),0)</f>
        <v/>
      </c>
      <c r="AA11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2">
      <c r="A112" s="42" t="n">
        <v>46164</v>
      </c>
      <c r="B112" s="43" t="n">
        <v>29481.6406</v>
      </c>
      <c r="C112" s="43" t="n">
        <v>12202.54</v>
      </c>
      <c r="D112" s="43" t="n">
        <v>62.81</v>
      </c>
      <c r="E112" s="43" t="n">
        <v>30.3588</v>
      </c>
      <c r="F112" s="44" t="n">
        <v>93</v>
      </c>
      <c r="G112" s="44" t="n">
        <v>939</v>
      </c>
      <c r="H112" s="43" t="n">
        <v>11.7345</v>
      </c>
      <c r="I112" s="43" t="n">
        <v>19.9235</v>
      </c>
      <c r="J112" s="44" t="n">
        <v>274</v>
      </c>
      <c r="K11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2" s="46">
        <f>(Dashboard!$C$13*tblHistory[[#This Row],[NDX S]]+Dashboard!$C$14*tblHistory[[#This Row],[SOX S]]+Dashboard!$C$15*tblHistory[[#This Row],[AIQ S]])/(Dashboard!$C$13+Dashboard!$C$14+Dashboard!$C$15)*100</f>
        <v/>
      </c>
      <c r="U112" s="46">
        <f>(Dashboard!$C$16*tblHistory[[#This Row],[DTCR S]]+Dashboard!$C$17*tblHistory[[#This Row],[BBB S]]+Dashboard!$C$18*tblHistory[[#This Row],[CCC S]])/(Dashboard!$C$16+Dashboard!$C$17+Dashboard!$C$18)*100</f>
        <v/>
      </c>
      <c r="V112" s="46">
        <f>(Dashboard!$C$19*tblHistory[[#This Row],[BIZD S]]+Dashboard!$C$20*tblHistory[[#This Row],[BKLN S]]+Dashboard!$C$21*tblHistory[[#This Row],[HY S]])/(Dashboard!$C$19+Dashboard!$C$20+Dashboard!$C$21)*100</f>
        <v/>
      </c>
      <c r="W11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2" s="46">
        <f>IFERROR(--(tblHistory[[#This Row],[Score]]&gt;=50),0)</f>
        <v/>
      </c>
      <c r="Y112" s="46">
        <f>IFERROR(--AND(tblHistory[[#This Row],[Score]]&gt;=60,OR(AND(tblHistory[[#This Row],[BIZD S]]&gt;=0.8,tblHistory[[#This Row],[BKLN S]]&gt;=0.5),tblHistory[[#This Row],[CCC S]]&gt;=0.8)),0)</f>
        <v/>
      </c>
      <c r="Z112" s="46">
        <f>IFERROR(--AND(tblHistory[[#This Row],[Score]]&gt;=70,tblHistory[[#This Row],[SOX S]]&gt;=0.83,tblHistory[[#This Row],[AIQ S]]&gt;=0.8),0)</f>
        <v/>
      </c>
      <c r="AA11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3">
      <c r="A113" s="42" t="n">
        <v>46163</v>
      </c>
      <c r="B113" s="43" t="n">
        <v>29357.2695</v>
      </c>
      <c r="C113" s="43" t="n">
        <v>11964.0801</v>
      </c>
      <c r="D113" s="43" t="n">
        <v>62.61</v>
      </c>
      <c r="E113" s="43" t="n">
        <v>30.4385</v>
      </c>
      <c r="F113" s="44" t="n">
        <v>94</v>
      </c>
      <c r="G113" s="44" t="n">
        <v>939</v>
      </c>
      <c r="H113" s="43" t="n">
        <v>11.8672</v>
      </c>
      <c r="I113" s="43" t="n">
        <v>19.943</v>
      </c>
      <c r="J113" s="44" t="n">
        <v>278</v>
      </c>
      <c r="K11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3" s="46">
        <f>(Dashboard!$C$13*tblHistory[[#This Row],[NDX S]]+Dashboard!$C$14*tblHistory[[#This Row],[SOX S]]+Dashboard!$C$15*tblHistory[[#This Row],[AIQ S]])/(Dashboard!$C$13+Dashboard!$C$14+Dashboard!$C$15)*100</f>
        <v/>
      </c>
      <c r="U113" s="46">
        <f>(Dashboard!$C$16*tblHistory[[#This Row],[DTCR S]]+Dashboard!$C$17*tblHistory[[#This Row],[BBB S]]+Dashboard!$C$18*tblHistory[[#This Row],[CCC S]])/(Dashboard!$C$16+Dashboard!$C$17+Dashboard!$C$18)*100</f>
        <v/>
      </c>
      <c r="V113" s="46">
        <f>(Dashboard!$C$19*tblHistory[[#This Row],[BIZD S]]+Dashboard!$C$20*tblHistory[[#This Row],[BKLN S]]+Dashboard!$C$21*tblHistory[[#This Row],[HY S]])/(Dashboard!$C$19+Dashboard!$C$20+Dashboard!$C$21)*100</f>
        <v/>
      </c>
      <c r="W11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3" s="46">
        <f>IFERROR(--(tblHistory[[#This Row],[Score]]&gt;=50),0)</f>
        <v/>
      </c>
      <c r="Y113" s="46">
        <f>IFERROR(--AND(tblHistory[[#This Row],[Score]]&gt;=60,OR(AND(tblHistory[[#This Row],[BIZD S]]&gt;=0.8,tblHistory[[#This Row],[BKLN S]]&gt;=0.5),tblHistory[[#This Row],[CCC S]]&gt;=0.8)),0)</f>
        <v/>
      </c>
      <c r="Z113" s="46">
        <f>IFERROR(--AND(tblHistory[[#This Row],[Score]]&gt;=70,tblHistory[[#This Row],[SOX S]]&gt;=0.83,tblHistory[[#This Row],[AIQ S]]&gt;=0.8),0)</f>
        <v/>
      </c>
      <c r="AA11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4">
      <c r="A114" s="42" t="n">
        <v>46162</v>
      </c>
      <c r="B114" s="43" t="n">
        <v>29297.6992</v>
      </c>
      <c r="C114" s="43" t="n">
        <v>11813.29</v>
      </c>
      <c r="D114" s="43" t="n">
        <v>61.87</v>
      </c>
      <c r="E114" s="43" t="n">
        <v>29.9901</v>
      </c>
      <c r="F114" s="44" t="n">
        <v>95</v>
      </c>
      <c r="G114" s="44" t="n">
        <v>940</v>
      </c>
      <c r="H114" s="43" t="n">
        <v>11.8577</v>
      </c>
      <c r="I114" s="43" t="n">
        <v>19.9527</v>
      </c>
      <c r="J114" s="44" t="n">
        <v>280</v>
      </c>
      <c r="K11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4" s="46">
        <f>(Dashboard!$C$13*tblHistory[[#This Row],[NDX S]]+Dashboard!$C$14*tblHistory[[#This Row],[SOX S]]+Dashboard!$C$15*tblHistory[[#This Row],[AIQ S]])/(Dashboard!$C$13+Dashboard!$C$14+Dashboard!$C$15)*100</f>
        <v/>
      </c>
      <c r="U114" s="46">
        <f>(Dashboard!$C$16*tblHistory[[#This Row],[DTCR S]]+Dashboard!$C$17*tblHistory[[#This Row],[BBB S]]+Dashboard!$C$18*tblHistory[[#This Row],[CCC S]])/(Dashboard!$C$16+Dashboard!$C$17+Dashboard!$C$18)*100</f>
        <v/>
      </c>
      <c r="V114" s="46">
        <f>(Dashboard!$C$19*tblHistory[[#This Row],[BIZD S]]+Dashboard!$C$20*tblHistory[[#This Row],[BKLN S]]+Dashboard!$C$21*tblHistory[[#This Row],[HY S]])/(Dashboard!$C$19+Dashboard!$C$20+Dashboard!$C$21)*100</f>
        <v/>
      </c>
      <c r="W11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4" s="46">
        <f>IFERROR(--(tblHistory[[#This Row],[Score]]&gt;=50),0)</f>
        <v/>
      </c>
      <c r="Y114" s="46">
        <f>IFERROR(--AND(tblHistory[[#This Row],[Score]]&gt;=60,OR(AND(tblHistory[[#This Row],[BIZD S]]&gt;=0.8,tblHistory[[#This Row],[BKLN S]]&gt;=0.5),tblHistory[[#This Row],[CCC S]]&gt;=0.8)),0)</f>
        <v/>
      </c>
      <c r="Z114" s="46">
        <f>IFERROR(--AND(tblHistory[[#This Row],[Score]]&gt;=70,tblHistory[[#This Row],[SOX S]]&gt;=0.83,tblHistory[[#This Row],[AIQ S]]&gt;=0.8),0)</f>
        <v/>
      </c>
      <c r="AA11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5">
      <c r="A115" s="42" t="n">
        <v>46161</v>
      </c>
      <c r="B115" s="43" t="n">
        <v>28818.8398</v>
      </c>
      <c r="C115" s="43" t="n">
        <v>11305.5</v>
      </c>
      <c r="D115" s="43" t="n">
        <v>60.4</v>
      </c>
      <c r="E115" s="43" t="n">
        <v>29.4122</v>
      </c>
      <c r="F115" s="44" t="n">
        <v>95</v>
      </c>
      <c r="G115" s="44" t="n">
        <v>948</v>
      </c>
      <c r="H115" s="43" t="n">
        <v>11.7629</v>
      </c>
      <c r="I115" s="43" t="n">
        <v>19.9527</v>
      </c>
      <c r="J115" s="44" t="n">
        <v>286</v>
      </c>
      <c r="K11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5" s="46">
        <f>(Dashboard!$C$13*tblHistory[[#This Row],[NDX S]]+Dashboard!$C$14*tblHistory[[#This Row],[SOX S]]+Dashboard!$C$15*tblHistory[[#This Row],[AIQ S]])/(Dashboard!$C$13+Dashboard!$C$14+Dashboard!$C$15)*100</f>
        <v/>
      </c>
      <c r="U115" s="46">
        <f>(Dashboard!$C$16*tblHistory[[#This Row],[DTCR S]]+Dashboard!$C$17*tblHistory[[#This Row],[BBB S]]+Dashboard!$C$18*tblHistory[[#This Row],[CCC S]])/(Dashboard!$C$16+Dashboard!$C$17+Dashboard!$C$18)*100</f>
        <v/>
      </c>
      <c r="V115" s="46">
        <f>(Dashboard!$C$19*tblHistory[[#This Row],[BIZD S]]+Dashboard!$C$20*tblHistory[[#This Row],[BKLN S]]+Dashboard!$C$21*tblHistory[[#This Row],[HY S]])/(Dashboard!$C$19+Dashboard!$C$20+Dashboard!$C$21)*100</f>
        <v/>
      </c>
      <c r="W11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5" s="46">
        <f>IFERROR(--(tblHistory[[#This Row],[Score]]&gt;=50),0)</f>
        <v/>
      </c>
      <c r="Y115" s="46">
        <f>IFERROR(--AND(tblHistory[[#This Row],[Score]]&gt;=60,OR(AND(tblHistory[[#This Row],[BIZD S]]&gt;=0.8,tblHistory[[#This Row],[BKLN S]]&gt;=0.5),tblHistory[[#This Row],[CCC S]]&gt;=0.8)),0)</f>
        <v/>
      </c>
      <c r="Z115" s="46">
        <f>IFERROR(--AND(tblHistory[[#This Row],[Score]]&gt;=70,tblHistory[[#This Row],[SOX S]]&gt;=0.83,tblHistory[[#This Row],[AIQ S]]&gt;=0.8),0)</f>
        <v/>
      </c>
      <c r="AA11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6">
      <c r="A116" s="42" t="n">
        <v>46160</v>
      </c>
      <c r="B116" s="43" t="n">
        <v>28994.3691</v>
      </c>
      <c r="C116" s="43" t="n">
        <v>11302.5195</v>
      </c>
      <c r="D116" s="43" t="n">
        <v>60.72</v>
      </c>
      <c r="E116" s="43" t="n">
        <v>29.4621</v>
      </c>
      <c r="F116" s="44" t="n">
        <v>94</v>
      </c>
      <c r="G116" s="44" t="n">
        <v>942</v>
      </c>
      <c r="H116" s="43" t="n">
        <v>11.8672</v>
      </c>
      <c r="I116" s="43" t="n">
        <v>19.9722</v>
      </c>
      <c r="J116" s="44" t="n">
        <v>283</v>
      </c>
      <c r="K11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6" s="46">
        <f>(Dashboard!$C$13*tblHistory[[#This Row],[NDX S]]+Dashboard!$C$14*tblHistory[[#This Row],[SOX S]]+Dashboard!$C$15*tblHistory[[#This Row],[AIQ S]])/(Dashboard!$C$13+Dashboard!$C$14+Dashboard!$C$15)*100</f>
        <v/>
      </c>
      <c r="U116" s="46">
        <f>(Dashboard!$C$16*tblHistory[[#This Row],[DTCR S]]+Dashboard!$C$17*tblHistory[[#This Row],[BBB S]]+Dashboard!$C$18*tblHistory[[#This Row],[CCC S]])/(Dashboard!$C$16+Dashboard!$C$17+Dashboard!$C$18)*100</f>
        <v/>
      </c>
      <c r="V116" s="46">
        <f>(Dashboard!$C$19*tblHistory[[#This Row],[BIZD S]]+Dashboard!$C$20*tblHistory[[#This Row],[BKLN S]]+Dashboard!$C$21*tblHistory[[#This Row],[HY S]])/(Dashboard!$C$19+Dashboard!$C$20+Dashboard!$C$21)*100</f>
        <v/>
      </c>
      <c r="W11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6" s="46">
        <f>IFERROR(--(tblHistory[[#This Row],[Score]]&gt;=50),0)</f>
        <v/>
      </c>
      <c r="Y116" s="46">
        <f>IFERROR(--AND(tblHistory[[#This Row],[Score]]&gt;=60,OR(AND(tblHistory[[#This Row],[BIZD S]]&gt;=0.8,tblHistory[[#This Row],[BKLN S]]&gt;=0.5),tblHistory[[#This Row],[CCC S]]&gt;=0.8)),0)</f>
        <v/>
      </c>
      <c r="Z116" s="46">
        <f>IFERROR(--AND(tblHistory[[#This Row],[Score]]&gt;=70,tblHistory[[#This Row],[SOX S]]&gt;=0.83,tblHistory[[#This Row],[AIQ S]]&gt;=0.8),0)</f>
        <v/>
      </c>
      <c r="AA11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7">
      <c r="A117" s="42" t="n">
        <v>46157</v>
      </c>
      <c r="B117" s="43" t="n">
        <v>29125.1992</v>
      </c>
      <c r="C117" s="43" t="n">
        <v>11588.46</v>
      </c>
      <c r="D117" s="43" t="n">
        <v>61.04</v>
      </c>
      <c r="E117" s="43" t="n">
        <v>29.5517</v>
      </c>
      <c r="F117" s="44" t="n">
        <v>94</v>
      </c>
      <c r="G117" s="44" t="n">
        <v>935</v>
      </c>
      <c r="H117" s="43" t="n">
        <v>11.9525</v>
      </c>
      <c r="I117" s="43" t="n">
        <v>19.9615</v>
      </c>
      <c r="J117" s="44" t="n">
        <v>280</v>
      </c>
      <c r="K11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7" s="46">
        <f>(Dashboard!$C$13*tblHistory[[#This Row],[NDX S]]+Dashboard!$C$14*tblHistory[[#This Row],[SOX S]]+Dashboard!$C$15*tblHistory[[#This Row],[AIQ S]])/(Dashboard!$C$13+Dashboard!$C$14+Dashboard!$C$15)*100</f>
        <v/>
      </c>
      <c r="U117" s="46">
        <f>(Dashboard!$C$16*tblHistory[[#This Row],[DTCR S]]+Dashboard!$C$17*tblHistory[[#This Row],[BBB S]]+Dashboard!$C$18*tblHistory[[#This Row],[CCC S]])/(Dashboard!$C$16+Dashboard!$C$17+Dashboard!$C$18)*100</f>
        <v/>
      </c>
      <c r="V117" s="46">
        <f>(Dashboard!$C$19*tblHistory[[#This Row],[BIZD S]]+Dashboard!$C$20*tblHistory[[#This Row],[BKLN S]]+Dashboard!$C$21*tblHistory[[#This Row],[HY S]])/(Dashboard!$C$19+Dashboard!$C$20+Dashboard!$C$21)*100</f>
        <v/>
      </c>
      <c r="W11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7" s="46">
        <f>IFERROR(--(tblHistory[[#This Row],[Score]]&gt;=50),0)</f>
        <v/>
      </c>
      <c r="Y117" s="46">
        <f>IFERROR(--AND(tblHistory[[#This Row],[Score]]&gt;=60,OR(AND(tblHistory[[#This Row],[BIZD S]]&gt;=0.8,tblHistory[[#This Row],[BKLN S]]&gt;=0.5),tblHistory[[#This Row],[CCC S]]&gt;=0.8)),0)</f>
        <v/>
      </c>
      <c r="Z117" s="46">
        <f>IFERROR(--AND(tblHistory[[#This Row],[Score]]&gt;=70,tblHistory[[#This Row],[SOX S]]&gt;=0.83,tblHistory[[#This Row],[AIQ S]]&gt;=0.8),0)</f>
        <v/>
      </c>
      <c r="AA11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8">
      <c r="A118" s="42" t="n">
        <v>46156</v>
      </c>
      <c r="B118" s="43" t="n">
        <v>29580.3008</v>
      </c>
      <c r="C118" s="43" t="n">
        <v>12073.7803</v>
      </c>
      <c r="D118" s="43" t="n">
        <v>62.43</v>
      </c>
      <c r="E118" s="43" t="n">
        <v>30.4983</v>
      </c>
      <c r="F118" s="44" t="n">
        <v>95</v>
      </c>
      <c r="G118" s="44" t="n">
        <v>922</v>
      </c>
      <c r="H118" s="43" t="n">
        <v>11.9715</v>
      </c>
      <c r="I118" s="43" t="n">
        <v>20.0099</v>
      </c>
      <c r="J118" s="44" t="n">
        <v>276</v>
      </c>
      <c r="K11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8" s="46">
        <f>(Dashboard!$C$13*tblHistory[[#This Row],[NDX S]]+Dashboard!$C$14*tblHistory[[#This Row],[SOX S]]+Dashboard!$C$15*tblHistory[[#This Row],[AIQ S]])/(Dashboard!$C$13+Dashboard!$C$14+Dashboard!$C$15)*100</f>
        <v/>
      </c>
      <c r="U118" s="46">
        <f>(Dashboard!$C$16*tblHistory[[#This Row],[DTCR S]]+Dashboard!$C$17*tblHistory[[#This Row],[BBB S]]+Dashboard!$C$18*tblHistory[[#This Row],[CCC S]])/(Dashboard!$C$16+Dashboard!$C$17+Dashboard!$C$18)*100</f>
        <v/>
      </c>
      <c r="V118" s="46">
        <f>(Dashboard!$C$19*tblHistory[[#This Row],[BIZD S]]+Dashboard!$C$20*tblHistory[[#This Row],[BKLN S]]+Dashboard!$C$21*tblHistory[[#This Row],[HY S]])/(Dashboard!$C$19+Dashboard!$C$20+Dashboard!$C$21)*100</f>
        <v/>
      </c>
      <c r="W11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8" s="46">
        <f>IFERROR(--(tblHistory[[#This Row],[Score]]&gt;=50),0)</f>
        <v/>
      </c>
      <c r="Y118" s="46">
        <f>IFERROR(--AND(tblHistory[[#This Row],[Score]]&gt;=60,OR(AND(tblHistory[[#This Row],[BIZD S]]&gt;=0.8,tblHistory[[#This Row],[BKLN S]]&gt;=0.5),tblHistory[[#This Row],[CCC S]]&gt;=0.8)),0)</f>
        <v/>
      </c>
      <c r="Z118" s="46">
        <f>IFERROR(--AND(tblHistory[[#This Row],[Score]]&gt;=70,tblHistory[[#This Row],[SOX S]]&gt;=0.83,tblHistory[[#This Row],[AIQ S]]&gt;=0.8),0)</f>
        <v/>
      </c>
      <c r="AA11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19">
      <c r="A119" s="42" t="n">
        <v>46155</v>
      </c>
      <c r="B119" s="43" t="n">
        <v>29366.9395</v>
      </c>
      <c r="C119" s="43" t="n">
        <v>12017.9805</v>
      </c>
      <c r="D119" s="43" t="n">
        <v>62.11</v>
      </c>
      <c r="E119" s="43" t="n">
        <v>30.6278</v>
      </c>
      <c r="F119" s="44" t="n">
        <v>96</v>
      </c>
      <c r="G119" s="44" t="n">
        <v>931</v>
      </c>
      <c r="H119" s="43" t="n">
        <v>11.9146</v>
      </c>
      <c r="I119" s="43" t="n">
        <v>20.0002</v>
      </c>
      <c r="J119" s="44" t="n">
        <v>282</v>
      </c>
      <c r="K11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1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1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1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1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1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1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1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1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19" s="46">
        <f>(Dashboard!$C$13*tblHistory[[#This Row],[NDX S]]+Dashboard!$C$14*tblHistory[[#This Row],[SOX S]]+Dashboard!$C$15*tblHistory[[#This Row],[AIQ S]])/(Dashboard!$C$13+Dashboard!$C$14+Dashboard!$C$15)*100</f>
        <v/>
      </c>
      <c r="U119" s="46">
        <f>(Dashboard!$C$16*tblHistory[[#This Row],[DTCR S]]+Dashboard!$C$17*tblHistory[[#This Row],[BBB S]]+Dashboard!$C$18*tblHistory[[#This Row],[CCC S]])/(Dashboard!$C$16+Dashboard!$C$17+Dashboard!$C$18)*100</f>
        <v/>
      </c>
      <c r="V119" s="46">
        <f>(Dashboard!$C$19*tblHistory[[#This Row],[BIZD S]]+Dashboard!$C$20*tblHistory[[#This Row],[BKLN S]]+Dashboard!$C$21*tblHistory[[#This Row],[HY S]])/(Dashboard!$C$19+Dashboard!$C$20+Dashboard!$C$21)*100</f>
        <v/>
      </c>
      <c r="W11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19" s="46">
        <f>IFERROR(--(tblHistory[[#This Row],[Score]]&gt;=50),0)</f>
        <v/>
      </c>
      <c r="Y119" s="46">
        <f>IFERROR(--AND(tblHistory[[#This Row],[Score]]&gt;=60,OR(AND(tblHistory[[#This Row],[BIZD S]]&gt;=0.8,tblHistory[[#This Row],[BKLN S]]&gt;=0.5),tblHistory[[#This Row],[CCC S]]&gt;=0.8)),0)</f>
        <v/>
      </c>
      <c r="Z119" s="46">
        <f>IFERROR(--AND(tblHistory[[#This Row],[Score]]&gt;=70,tblHistory[[#This Row],[SOX S]]&gt;=0.83,tblHistory[[#This Row],[AIQ S]]&gt;=0.8),0)</f>
        <v/>
      </c>
      <c r="AA11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1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1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1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1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0">
      <c r="A120" s="42" t="n">
        <v>46154</v>
      </c>
      <c r="B120" s="43" t="n">
        <v>29064.8008</v>
      </c>
      <c r="C120" s="43" t="n">
        <v>11717.2598</v>
      </c>
      <c r="D120" s="43" t="n">
        <v>61.02</v>
      </c>
      <c r="E120" s="43" t="n">
        <v>30.2292</v>
      </c>
      <c r="F120" s="44" t="n">
        <v>97</v>
      </c>
      <c r="G120" s="44" t="n">
        <v>937</v>
      </c>
      <c r="H120" s="43" t="n">
        <v>12.0094</v>
      </c>
      <c r="I120" s="43" t="n">
        <v>19.9905</v>
      </c>
      <c r="J120" s="44" t="n">
        <v>282</v>
      </c>
      <c r="K12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0" s="46">
        <f>(Dashboard!$C$13*tblHistory[[#This Row],[NDX S]]+Dashboard!$C$14*tblHistory[[#This Row],[SOX S]]+Dashboard!$C$15*tblHistory[[#This Row],[AIQ S]])/(Dashboard!$C$13+Dashboard!$C$14+Dashboard!$C$15)*100</f>
        <v/>
      </c>
      <c r="U120" s="46">
        <f>(Dashboard!$C$16*tblHistory[[#This Row],[DTCR S]]+Dashboard!$C$17*tblHistory[[#This Row],[BBB S]]+Dashboard!$C$18*tblHistory[[#This Row],[CCC S]])/(Dashboard!$C$16+Dashboard!$C$17+Dashboard!$C$18)*100</f>
        <v/>
      </c>
      <c r="V120" s="46">
        <f>(Dashboard!$C$19*tblHistory[[#This Row],[BIZD S]]+Dashboard!$C$20*tblHistory[[#This Row],[BKLN S]]+Dashboard!$C$21*tblHistory[[#This Row],[HY S]])/(Dashboard!$C$19+Dashboard!$C$20+Dashboard!$C$21)*100</f>
        <v/>
      </c>
      <c r="W12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0" s="46">
        <f>IFERROR(--(tblHistory[[#This Row],[Score]]&gt;=50),0)</f>
        <v/>
      </c>
      <c r="Y120" s="46">
        <f>IFERROR(--AND(tblHistory[[#This Row],[Score]]&gt;=60,OR(AND(tblHistory[[#This Row],[BIZD S]]&gt;=0.8,tblHistory[[#This Row],[BKLN S]]&gt;=0.5),tblHistory[[#This Row],[CCC S]]&gt;=0.8)),0)</f>
        <v/>
      </c>
      <c r="Z120" s="46">
        <f>IFERROR(--AND(tblHistory[[#This Row],[Score]]&gt;=70,tblHistory[[#This Row],[SOX S]]&gt;=0.83,tblHistory[[#This Row],[AIQ S]]&gt;=0.8),0)</f>
        <v/>
      </c>
      <c r="AA12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1">
      <c r="A121" s="42" t="n">
        <v>46153</v>
      </c>
      <c r="B121" s="43" t="n">
        <v>29320.6602</v>
      </c>
      <c r="C121" s="43" t="n">
        <v>12081.04</v>
      </c>
      <c r="D121" s="43" t="n">
        <v>62.85</v>
      </c>
      <c r="E121" s="43" t="n">
        <v>30.7573</v>
      </c>
      <c r="F121" s="44" t="n">
        <v>98</v>
      </c>
      <c r="G121" s="44" t="n">
        <v>931</v>
      </c>
      <c r="H121" s="43" t="n">
        <v>11.962</v>
      </c>
      <c r="I121" s="43" t="n">
        <v>20.0002</v>
      </c>
      <c r="J121" s="44" t="n">
        <v>279</v>
      </c>
      <c r="K12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1" s="46">
        <f>(Dashboard!$C$13*tblHistory[[#This Row],[NDX S]]+Dashboard!$C$14*tblHistory[[#This Row],[SOX S]]+Dashboard!$C$15*tblHistory[[#This Row],[AIQ S]])/(Dashboard!$C$13+Dashboard!$C$14+Dashboard!$C$15)*100</f>
        <v/>
      </c>
      <c r="U121" s="46">
        <f>(Dashboard!$C$16*tblHistory[[#This Row],[DTCR S]]+Dashboard!$C$17*tblHistory[[#This Row],[BBB S]]+Dashboard!$C$18*tblHistory[[#This Row],[CCC S]])/(Dashboard!$C$16+Dashboard!$C$17+Dashboard!$C$18)*100</f>
        <v/>
      </c>
      <c r="V121" s="46">
        <f>(Dashboard!$C$19*tblHistory[[#This Row],[BIZD S]]+Dashboard!$C$20*tblHistory[[#This Row],[BKLN S]]+Dashboard!$C$21*tblHistory[[#This Row],[HY S]])/(Dashboard!$C$19+Dashboard!$C$20+Dashboard!$C$21)*100</f>
        <v/>
      </c>
      <c r="W12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1" s="46">
        <f>IFERROR(--(tblHistory[[#This Row],[Score]]&gt;=50),0)</f>
        <v/>
      </c>
      <c r="Y121" s="46">
        <f>IFERROR(--AND(tblHistory[[#This Row],[Score]]&gt;=60,OR(AND(tblHistory[[#This Row],[BIZD S]]&gt;=0.8,tblHistory[[#This Row],[BKLN S]]&gt;=0.5),tblHistory[[#This Row],[CCC S]]&gt;=0.8)),0)</f>
        <v/>
      </c>
      <c r="Z121" s="46">
        <f>IFERROR(--AND(tblHistory[[#This Row],[Score]]&gt;=70,tblHistory[[#This Row],[SOX S]]&gt;=0.83,tblHistory[[#This Row],[AIQ S]]&gt;=0.8),0)</f>
        <v/>
      </c>
      <c r="AA12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2">
      <c r="A122" s="42" t="n">
        <v>46150</v>
      </c>
      <c r="B122" s="43" t="n">
        <v>29234.9902</v>
      </c>
      <c r="C122" s="43" t="n">
        <v>11775.5</v>
      </c>
      <c r="D122" s="43" t="n">
        <v>62.31</v>
      </c>
      <c r="E122" s="43" t="n">
        <v>30.3089</v>
      </c>
      <c r="F122" s="44" t="n">
        <v>99</v>
      </c>
      <c r="G122" s="44" t="n">
        <v>920</v>
      </c>
      <c r="H122" s="43" t="n">
        <v>12.2274</v>
      </c>
      <c r="I122" s="43" t="n">
        <v>20.0002</v>
      </c>
      <c r="J122" s="44" t="n">
        <v>281</v>
      </c>
      <c r="K12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2" s="46">
        <f>(Dashboard!$C$13*tblHistory[[#This Row],[NDX S]]+Dashboard!$C$14*tblHistory[[#This Row],[SOX S]]+Dashboard!$C$15*tblHistory[[#This Row],[AIQ S]])/(Dashboard!$C$13+Dashboard!$C$14+Dashboard!$C$15)*100</f>
        <v/>
      </c>
      <c r="U122" s="46">
        <f>(Dashboard!$C$16*tblHistory[[#This Row],[DTCR S]]+Dashboard!$C$17*tblHistory[[#This Row],[BBB S]]+Dashboard!$C$18*tblHistory[[#This Row],[CCC S]])/(Dashboard!$C$16+Dashboard!$C$17+Dashboard!$C$18)*100</f>
        <v/>
      </c>
      <c r="V122" s="46">
        <f>(Dashboard!$C$19*tblHistory[[#This Row],[BIZD S]]+Dashboard!$C$20*tblHistory[[#This Row],[BKLN S]]+Dashboard!$C$21*tblHistory[[#This Row],[HY S]])/(Dashboard!$C$19+Dashboard!$C$20+Dashboard!$C$21)*100</f>
        <v/>
      </c>
      <c r="W12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2" s="46">
        <f>IFERROR(--(tblHistory[[#This Row],[Score]]&gt;=50),0)</f>
        <v/>
      </c>
      <c r="Y122" s="46">
        <f>IFERROR(--AND(tblHistory[[#This Row],[Score]]&gt;=60,OR(AND(tblHistory[[#This Row],[BIZD S]]&gt;=0.8,tblHistory[[#This Row],[BKLN S]]&gt;=0.5),tblHistory[[#This Row],[CCC S]]&gt;=0.8)),0)</f>
        <v/>
      </c>
      <c r="Z122" s="46">
        <f>IFERROR(--AND(tblHistory[[#This Row],[Score]]&gt;=70,tblHistory[[#This Row],[SOX S]]&gt;=0.83,tblHistory[[#This Row],[AIQ S]]&gt;=0.8),0)</f>
        <v/>
      </c>
      <c r="AA12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3">
      <c r="A123" s="42" t="n">
        <v>46149</v>
      </c>
      <c r="B123" s="43" t="n">
        <v>28563.9492</v>
      </c>
      <c r="C123" s="43" t="n">
        <v>11160.9902</v>
      </c>
      <c r="D123" s="43" t="n">
        <v>59.99</v>
      </c>
      <c r="E123" s="43" t="n">
        <v>29.6713</v>
      </c>
      <c r="F123" s="44" t="n">
        <v>99</v>
      </c>
      <c r="G123" s="44" t="n">
        <v>915</v>
      </c>
      <c r="H123" s="43" t="n">
        <v>12.3506</v>
      </c>
      <c r="I123" s="43" t="n">
        <v>20.0099</v>
      </c>
      <c r="J123" s="44" t="n">
        <v>279</v>
      </c>
      <c r="K12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3" s="46">
        <f>(Dashboard!$C$13*tblHistory[[#This Row],[NDX S]]+Dashboard!$C$14*tblHistory[[#This Row],[SOX S]]+Dashboard!$C$15*tblHistory[[#This Row],[AIQ S]])/(Dashboard!$C$13+Dashboard!$C$14+Dashboard!$C$15)*100</f>
        <v/>
      </c>
      <c r="U123" s="46">
        <f>(Dashboard!$C$16*tblHistory[[#This Row],[DTCR S]]+Dashboard!$C$17*tblHistory[[#This Row],[BBB S]]+Dashboard!$C$18*tblHistory[[#This Row],[CCC S]])/(Dashboard!$C$16+Dashboard!$C$17+Dashboard!$C$18)*100</f>
        <v/>
      </c>
      <c r="V123" s="46">
        <f>(Dashboard!$C$19*tblHistory[[#This Row],[BIZD S]]+Dashboard!$C$20*tblHistory[[#This Row],[BKLN S]]+Dashboard!$C$21*tblHistory[[#This Row],[HY S]])/(Dashboard!$C$19+Dashboard!$C$20+Dashboard!$C$21)*100</f>
        <v/>
      </c>
      <c r="W12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3" s="46">
        <f>IFERROR(--(tblHistory[[#This Row],[Score]]&gt;=50),0)</f>
        <v/>
      </c>
      <c r="Y123" s="46">
        <f>IFERROR(--AND(tblHistory[[#This Row],[Score]]&gt;=60,OR(AND(tblHistory[[#This Row],[BIZD S]]&gt;=0.8,tblHistory[[#This Row],[BKLN S]]&gt;=0.5),tblHistory[[#This Row],[CCC S]]&gt;=0.8)),0)</f>
        <v/>
      </c>
      <c r="Z123" s="46">
        <f>IFERROR(--AND(tblHistory[[#This Row],[Score]]&gt;=70,tblHistory[[#This Row],[SOX S]]&gt;=0.83,tblHistory[[#This Row],[AIQ S]]&gt;=0.8),0)</f>
        <v/>
      </c>
      <c r="AA12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4">
      <c r="A124" s="42" t="n">
        <v>46148</v>
      </c>
      <c r="B124" s="43" t="n">
        <v>28599.1699</v>
      </c>
      <c r="C124" s="43" t="n">
        <v>11472.75</v>
      </c>
      <c r="D124" s="43" t="n">
        <v>60.3</v>
      </c>
      <c r="E124" s="43" t="n">
        <v>30.1994</v>
      </c>
      <c r="F124" s="44" t="n">
        <v>99</v>
      </c>
      <c r="G124" s="44" t="n">
        <v>907</v>
      </c>
      <c r="H124" s="43" t="n">
        <v>12.5781</v>
      </c>
      <c r="I124" s="43" t="n">
        <v>19.9905</v>
      </c>
      <c r="J124" s="44" t="n">
        <v>275</v>
      </c>
      <c r="K12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4" s="46">
        <f>(Dashboard!$C$13*tblHistory[[#This Row],[NDX S]]+Dashboard!$C$14*tblHistory[[#This Row],[SOX S]]+Dashboard!$C$15*tblHistory[[#This Row],[AIQ S]])/(Dashboard!$C$13+Dashboard!$C$14+Dashboard!$C$15)*100</f>
        <v/>
      </c>
      <c r="U124" s="46">
        <f>(Dashboard!$C$16*tblHistory[[#This Row],[DTCR S]]+Dashboard!$C$17*tblHistory[[#This Row],[BBB S]]+Dashboard!$C$18*tblHistory[[#This Row],[CCC S]])/(Dashboard!$C$16+Dashboard!$C$17+Dashboard!$C$18)*100</f>
        <v/>
      </c>
      <c r="V124" s="46">
        <f>(Dashboard!$C$19*tblHistory[[#This Row],[BIZD S]]+Dashboard!$C$20*tblHistory[[#This Row],[BKLN S]]+Dashboard!$C$21*tblHistory[[#This Row],[HY S]])/(Dashboard!$C$19+Dashboard!$C$20+Dashboard!$C$21)*100</f>
        <v/>
      </c>
      <c r="W12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4" s="46">
        <f>IFERROR(--(tblHistory[[#This Row],[Score]]&gt;=50),0)</f>
        <v/>
      </c>
      <c r="Y124" s="46">
        <f>IFERROR(--AND(tblHistory[[#This Row],[Score]]&gt;=60,OR(AND(tblHistory[[#This Row],[BIZD S]]&gt;=0.8,tblHistory[[#This Row],[BKLN S]]&gt;=0.5),tblHistory[[#This Row],[CCC S]]&gt;=0.8)),0)</f>
        <v/>
      </c>
      <c r="Z124" s="46">
        <f>IFERROR(--AND(tblHistory[[#This Row],[Score]]&gt;=70,tblHistory[[#This Row],[SOX S]]&gt;=0.83,tblHistory[[#This Row],[AIQ S]]&gt;=0.8),0)</f>
        <v/>
      </c>
      <c r="AA12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5">
      <c r="A125" s="42" t="n">
        <v>46147</v>
      </c>
      <c r="B125" s="43" t="n">
        <v>28015.0605</v>
      </c>
      <c r="C125" s="43" t="n">
        <v>10980.5801</v>
      </c>
      <c r="D125" s="43" t="n">
        <v>58.43</v>
      </c>
      <c r="E125" s="43" t="n">
        <v>29.3026</v>
      </c>
      <c r="F125" s="44" t="n">
        <v>99</v>
      </c>
      <c r="G125" s="44" t="n">
        <v>911</v>
      </c>
      <c r="H125" s="43" t="n">
        <v>12.6634</v>
      </c>
      <c r="I125" s="43" t="n">
        <v>19.9809</v>
      </c>
      <c r="J125" s="44" t="n">
        <v>277</v>
      </c>
      <c r="K12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5" s="46">
        <f>(Dashboard!$C$13*tblHistory[[#This Row],[NDX S]]+Dashboard!$C$14*tblHistory[[#This Row],[SOX S]]+Dashboard!$C$15*tblHistory[[#This Row],[AIQ S]])/(Dashboard!$C$13+Dashboard!$C$14+Dashboard!$C$15)*100</f>
        <v/>
      </c>
      <c r="U125" s="46">
        <f>(Dashboard!$C$16*tblHistory[[#This Row],[DTCR S]]+Dashboard!$C$17*tblHistory[[#This Row],[BBB S]]+Dashboard!$C$18*tblHistory[[#This Row],[CCC S]])/(Dashboard!$C$16+Dashboard!$C$17+Dashboard!$C$18)*100</f>
        <v/>
      </c>
      <c r="V125" s="46">
        <f>(Dashboard!$C$19*tblHistory[[#This Row],[BIZD S]]+Dashboard!$C$20*tblHistory[[#This Row],[BKLN S]]+Dashboard!$C$21*tblHistory[[#This Row],[HY S]])/(Dashboard!$C$19+Dashboard!$C$20+Dashboard!$C$21)*100</f>
        <v/>
      </c>
      <c r="W12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5" s="46">
        <f>IFERROR(--(tblHistory[[#This Row],[Score]]&gt;=50),0)</f>
        <v/>
      </c>
      <c r="Y125" s="46">
        <f>IFERROR(--AND(tblHistory[[#This Row],[Score]]&gt;=60,OR(AND(tblHistory[[#This Row],[BIZD S]]&gt;=0.8,tblHistory[[#This Row],[BKLN S]]&gt;=0.5),tblHistory[[#This Row],[CCC S]]&gt;=0.8)),0)</f>
        <v/>
      </c>
      <c r="Z125" s="46">
        <f>IFERROR(--AND(tblHistory[[#This Row],[Score]]&gt;=70,tblHistory[[#This Row],[SOX S]]&gt;=0.83,tblHistory[[#This Row],[AIQ S]]&gt;=0.8),0)</f>
        <v/>
      </c>
      <c r="AA12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6">
      <c r="A126" s="42" t="n">
        <v>46146</v>
      </c>
      <c r="B126" s="43" t="n">
        <v>27651.8203</v>
      </c>
      <c r="C126" s="43" t="n">
        <v>10534.6602</v>
      </c>
      <c r="D126" s="43" t="n">
        <v>57.11</v>
      </c>
      <c r="E126" s="43" t="n">
        <v>28.8144</v>
      </c>
      <c r="F126" s="44" t="n">
        <v>101</v>
      </c>
      <c r="G126" s="44" t="n">
        <v>910</v>
      </c>
      <c r="H126" s="43" t="n">
        <v>12.6065</v>
      </c>
      <c r="I126" s="43" t="n">
        <v>19.9518</v>
      </c>
      <c r="J126" s="44" t="n">
        <v>278</v>
      </c>
      <c r="K12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6" s="46">
        <f>(Dashboard!$C$13*tblHistory[[#This Row],[NDX S]]+Dashboard!$C$14*tblHistory[[#This Row],[SOX S]]+Dashboard!$C$15*tblHistory[[#This Row],[AIQ S]])/(Dashboard!$C$13+Dashboard!$C$14+Dashboard!$C$15)*100</f>
        <v/>
      </c>
      <c r="U126" s="46">
        <f>(Dashboard!$C$16*tblHistory[[#This Row],[DTCR S]]+Dashboard!$C$17*tblHistory[[#This Row],[BBB S]]+Dashboard!$C$18*tblHistory[[#This Row],[CCC S]])/(Dashboard!$C$16+Dashboard!$C$17+Dashboard!$C$18)*100</f>
        <v/>
      </c>
      <c r="V126" s="46">
        <f>(Dashboard!$C$19*tblHistory[[#This Row],[BIZD S]]+Dashboard!$C$20*tblHistory[[#This Row],[BKLN S]]+Dashboard!$C$21*tblHistory[[#This Row],[HY S]])/(Dashboard!$C$19+Dashboard!$C$20+Dashboard!$C$21)*100</f>
        <v/>
      </c>
      <c r="W12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6" s="46">
        <f>IFERROR(--(tblHistory[[#This Row],[Score]]&gt;=50),0)</f>
        <v/>
      </c>
      <c r="Y126" s="46">
        <f>IFERROR(--AND(tblHistory[[#This Row],[Score]]&gt;=60,OR(AND(tblHistory[[#This Row],[BIZD S]]&gt;=0.8,tblHistory[[#This Row],[BKLN S]]&gt;=0.5),tblHistory[[#This Row],[CCC S]]&gt;=0.8)),0)</f>
        <v/>
      </c>
      <c r="Z126" s="46">
        <f>IFERROR(--AND(tblHistory[[#This Row],[Score]]&gt;=70,tblHistory[[#This Row],[SOX S]]&gt;=0.83,tblHistory[[#This Row],[AIQ S]]&gt;=0.8),0)</f>
        <v/>
      </c>
      <c r="AA12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7">
      <c r="A127" s="42" t="n">
        <v>46143</v>
      </c>
      <c r="B127" s="43" t="n">
        <v>27710.3594</v>
      </c>
      <c r="C127" s="43" t="n">
        <v>10595.3398</v>
      </c>
      <c r="D127" s="43" t="n">
        <v>56.82</v>
      </c>
      <c r="E127" s="43" t="n">
        <v>28.7945</v>
      </c>
      <c r="F127" s="44" t="n">
        <v>101</v>
      </c>
      <c r="G127" s="44" t="n">
        <v>904</v>
      </c>
      <c r="H127" s="43" t="n">
        <v>12.5971</v>
      </c>
      <c r="I127" s="43" t="n">
        <v>19.9324</v>
      </c>
      <c r="J127" s="44" t="n">
        <v>277</v>
      </c>
      <c r="K12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7" s="46">
        <f>(Dashboard!$C$13*tblHistory[[#This Row],[NDX S]]+Dashboard!$C$14*tblHistory[[#This Row],[SOX S]]+Dashboard!$C$15*tblHistory[[#This Row],[AIQ S]])/(Dashboard!$C$13+Dashboard!$C$14+Dashboard!$C$15)*100</f>
        <v/>
      </c>
      <c r="U127" s="46">
        <f>(Dashboard!$C$16*tblHistory[[#This Row],[DTCR S]]+Dashboard!$C$17*tblHistory[[#This Row],[BBB S]]+Dashboard!$C$18*tblHistory[[#This Row],[CCC S]])/(Dashboard!$C$16+Dashboard!$C$17+Dashboard!$C$18)*100</f>
        <v/>
      </c>
      <c r="V127" s="46">
        <f>(Dashboard!$C$19*tblHistory[[#This Row],[BIZD S]]+Dashboard!$C$20*tblHistory[[#This Row],[BKLN S]]+Dashboard!$C$21*tblHistory[[#This Row],[HY S]])/(Dashboard!$C$19+Dashboard!$C$20+Dashboard!$C$21)*100</f>
        <v/>
      </c>
      <c r="W12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7" s="46">
        <f>IFERROR(--(tblHistory[[#This Row],[Score]]&gt;=50),0)</f>
        <v/>
      </c>
      <c r="Y127" s="46">
        <f>IFERROR(--AND(tblHistory[[#This Row],[Score]]&gt;=60,OR(AND(tblHistory[[#This Row],[BIZD S]]&gt;=0.8,tblHistory[[#This Row],[BKLN S]]&gt;=0.5),tblHistory[[#This Row],[CCC S]]&gt;=0.8)),0)</f>
        <v/>
      </c>
      <c r="Z127" s="46">
        <f>IFERROR(--AND(tblHistory[[#This Row],[Score]]&gt;=70,tblHistory[[#This Row],[SOX S]]&gt;=0.83,tblHistory[[#This Row],[AIQ S]]&gt;=0.8),0)</f>
        <v/>
      </c>
      <c r="AA12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8">
      <c r="A128" s="42" t="n">
        <v>46142</v>
      </c>
      <c r="B128" s="43" t="n">
        <v>27452.1191</v>
      </c>
      <c r="C128" s="43" t="n">
        <v>10503.7002</v>
      </c>
      <c r="D128" s="43" t="n">
        <v>55.88</v>
      </c>
      <c r="E128" s="43" t="n">
        <v>28.7347</v>
      </c>
      <c r="F128" s="44" t="n">
        <v>102</v>
      </c>
      <c r="G128" s="44" t="n">
        <v>909</v>
      </c>
      <c r="H128" s="43" t="n">
        <v>12.4644</v>
      </c>
      <c r="I128" s="43" t="n">
        <v>19.9324</v>
      </c>
      <c r="J128" s="44" t="n">
        <v>283</v>
      </c>
      <c r="K12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8" s="46">
        <f>(Dashboard!$C$13*tblHistory[[#This Row],[NDX S]]+Dashboard!$C$14*tblHistory[[#This Row],[SOX S]]+Dashboard!$C$15*tblHistory[[#This Row],[AIQ S]])/(Dashboard!$C$13+Dashboard!$C$14+Dashboard!$C$15)*100</f>
        <v/>
      </c>
      <c r="U128" s="46">
        <f>(Dashboard!$C$16*tblHistory[[#This Row],[DTCR S]]+Dashboard!$C$17*tblHistory[[#This Row],[BBB S]]+Dashboard!$C$18*tblHistory[[#This Row],[CCC S]])/(Dashboard!$C$16+Dashboard!$C$17+Dashboard!$C$18)*100</f>
        <v/>
      </c>
      <c r="V128" s="46">
        <f>(Dashboard!$C$19*tblHistory[[#This Row],[BIZD S]]+Dashboard!$C$20*tblHistory[[#This Row],[BKLN S]]+Dashboard!$C$21*tblHistory[[#This Row],[HY S]])/(Dashboard!$C$19+Dashboard!$C$20+Dashboard!$C$21)*100</f>
        <v/>
      </c>
      <c r="W12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8" s="46">
        <f>IFERROR(--(tblHistory[[#This Row],[Score]]&gt;=50),0)</f>
        <v/>
      </c>
      <c r="Y128" s="46">
        <f>IFERROR(--AND(tblHistory[[#This Row],[Score]]&gt;=60,OR(AND(tblHistory[[#This Row],[BIZD S]]&gt;=0.8,tblHistory[[#This Row],[BKLN S]]&gt;=0.5),tblHistory[[#This Row],[CCC S]]&gt;=0.8)),0)</f>
        <v/>
      </c>
      <c r="Z128" s="46">
        <f>IFERROR(--AND(tblHistory[[#This Row],[Score]]&gt;=70,tblHistory[[#This Row],[SOX S]]&gt;=0.83,tblHistory[[#This Row],[AIQ S]]&gt;=0.8),0)</f>
        <v/>
      </c>
      <c r="AA12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29">
      <c r="A129" s="42" t="n">
        <v>46141</v>
      </c>
      <c r="B129" s="43" t="n">
        <v>27186.9805</v>
      </c>
      <c r="C129" s="43" t="n">
        <v>10271.2998</v>
      </c>
      <c r="D129" s="43" t="n">
        <v>55.04</v>
      </c>
      <c r="E129" s="43" t="n">
        <v>28.107</v>
      </c>
      <c r="F129" s="44" t="n">
        <v>101</v>
      </c>
      <c r="G129" s="44" t="n">
        <v>909</v>
      </c>
      <c r="H129" s="43" t="n">
        <v>12.0947</v>
      </c>
      <c r="I129" s="43" t="n">
        <v>19.9324</v>
      </c>
      <c r="J129" s="44" t="n">
        <v>282</v>
      </c>
      <c r="K12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2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2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2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2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2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2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2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2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29" s="46">
        <f>(Dashboard!$C$13*tblHistory[[#This Row],[NDX S]]+Dashboard!$C$14*tblHistory[[#This Row],[SOX S]]+Dashboard!$C$15*tblHistory[[#This Row],[AIQ S]])/(Dashboard!$C$13+Dashboard!$C$14+Dashboard!$C$15)*100</f>
        <v/>
      </c>
      <c r="U129" s="46">
        <f>(Dashboard!$C$16*tblHistory[[#This Row],[DTCR S]]+Dashboard!$C$17*tblHistory[[#This Row],[BBB S]]+Dashboard!$C$18*tblHistory[[#This Row],[CCC S]])/(Dashboard!$C$16+Dashboard!$C$17+Dashboard!$C$18)*100</f>
        <v/>
      </c>
      <c r="V129" s="46">
        <f>(Dashboard!$C$19*tblHistory[[#This Row],[BIZD S]]+Dashboard!$C$20*tblHistory[[#This Row],[BKLN S]]+Dashboard!$C$21*tblHistory[[#This Row],[HY S]])/(Dashboard!$C$19+Dashboard!$C$20+Dashboard!$C$21)*100</f>
        <v/>
      </c>
      <c r="W12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29" s="46">
        <f>IFERROR(--(tblHistory[[#This Row],[Score]]&gt;=50),0)</f>
        <v/>
      </c>
      <c r="Y129" s="46">
        <f>IFERROR(--AND(tblHistory[[#This Row],[Score]]&gt;=60,OR(AND(tblHistory[[#This Row],[BIZD S]]&gt;=0.8,tblHistory[[#This Row],[BKLN S]]&gt;=0.5),tblHistory[[#This Row],[CCC S]]&gt;=0.8)),0)</f>
        <v/>
      </c>
      <c r="Z129" s="46">
        <f>IFERROR(--AND(tblHistory[[#This Row],[Score]]&gt;=70,tblHistory[[#This Row],[SOX S]]&gt;=0.83,tblHistory[[#This Row],[AIQ S]]&gt;=0.8),0)</f>
        <v/>
      </c>
      <c r="AA12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2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2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2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2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0">
      <c r="A130" s="42" t="n">
        <v>46140</v>
      </c>
      <c r="B130" s="43" t="n">
        <v>27029.0098</v>
      </c>
      <c r="C130" s="43" t="n">
        <v>10035.5801</v>
      </c>
      <c r="D130" s="43" t="n">
        <v>54.5</v>
      </c>
      <c r="E130" s="43" t="n">
        <v>27.9775</v>
      </c>
      <c r="F130" s="44" t="n">
        <v>102</v>
      </c>
      <c r="G130" s="44" t="n">
        <v>911</v>
      </c>
      <c r="H130" s="43" t="n">
        <v>12.2369</v>
      </c>
      <c r="I130" s="43" t="n">
        <v>19.8937</v>
      </c>
      <c r="J130" s="44" t="n">
        <v>285</v>
      </c>
      <c r="K13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0" s="46">
        <f>(Dashboard!$C$13*tblHistory[[#This Row],[NDX S]]+Dashboard!$C$14*tblHistory[[#This Row],[SOX S]]+Dashboard!$C$15*tblHistory[[#This Row],[AIQ S]])/(Dashboard!$C$13+Dashboard!$C$14+Dashboard!$C$15)*100</f>
        <v/>
      </c>
      <c r="U130" s="46">
        <f>(Dashboard!$C$16*tblHistory[[#This Row],[DTCR S]]+Dashboard!$C$17*tblHistory[[#This Row],[BBB S]]+Dashboard!$C$18*tblHistory[[#This Row],[CCC S]])/(Dashboard!$C$16+Dashboard!$C$17+Dashboard!$C$18)*100</f>
        <v/>
      </c>
      <c r="V130" s="46">
        <f>(Dashboard!$C$19*tblHistory[[#This Row],[BIZD S]]+Dashboard!$C$20*tblHistory[[#This Row],[BKLN S]]+Dashboard!$C$21*tblHistory[[#This Row],[HY S]])/(Dashboard!$C$19+Dashboard!$C$20+Dashboard!$C$21)*100</f>
        <v/>
      </c>
      <c r="W13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0" s="46">
        <f>IFERROR(--(tblHistory[[#This Row],[Score]]&gt;=50),0)</f>
        <v/>
      </c>
      <c r="Y130" s="46">
        <f>IFERROR(--AND(tblHistory[[#This Row],[Score]]&gt;=60,OR(AND(tblHistory[[#This Row],[BIZD S]]&gt;=0.8,tblHistory[[#This Row],[BKLN S]]&gt;=0.5),tblHistory[[#This Row],[CCC S]]&gt;=0.8)),0)</f>
        <v/>
      </c>
      <c r="Z130" s="46">
        <f>IFERROR(--AND(tblHistory[[#This Row],[Score]]&gt;=70,tblHistory[[#This Row],[SOX S]]&gt;=0.83,tblHistory[[#This Row],[AIQ S]]&gt;=0.8),0)</f>
        <v/>
      </c>
      <c r="AA13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1">
      <c r="A131" s="42" t="n">
        <v>46139</v>
      </c>
      <c r="B131" s="43" t="n">
        <v>27305.6797</v>
      </c>
      <c r="C131" s="43" t="n">
        <v>10408.04</v>
      </c>
      <c r="D131" s="43" t="n">
        <v>55.38</v>
      </c>
      <c r="E131" s="43" t="n">
        <v>28.3262</v>
      </c>
      <c r="F131" s="44" t="n">
        <v>101</v>
      </c>
      <c r="G131" s="44" t="n">
        <v>908</v>
      </c>
      <c r="H131" s="43" t="n">
        <v>12.0662</v>
      </c>
      <c r="I131" s="43" t="n">
        <v>19.9131</v>
      </c>
      <c r="J131" s="44" t="n">
        <v>284</v>
      </c>
      <c r="K13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1" s="46">
        <f>(Dashboard!$C$13*tblHistory[[#This Row],[NDX S]]+Dashboard!$C$14*tblHistory[[#This Row],[SOX S]]+Dashboard!$C$15*tblHistory[[#This Row],[AIQ S]])/(Dashboard!$C$13+Dashboard!$C$14+Dashboard!$C$15)*100</f>
        <v/>
      </c>
      <c r="U131" s="46">
        <f>(Dashboard!$C$16*tblHistory[[#This Row],[DTCR S]]+Dashboard!$C$17*tblHistory[[#This Row],[BBB S]]+Dashboard!$C$18*tblHistory[[#This Row],[CCC S]])/(Dashboard!$C$16+Dashboard!$C$17+Dashboard!$C$18)*100</f>
        <v/>
      </c>
      <c r="V131" s="46">
        <f>(Dashboard!$C$19*tblHistory[[#This Row],[BIZD S]]+Dashboard!$C$20*tblHistory[[#This Row],[BKLN S]]+Dashboard!$C$21*tblHistory[[#This Row],[HY S]])/(Dashboard!$C$19+Dashboard!$C$20+Dashboard!$C$21)*100</f>
        <v/>
      </c>
      <c r="W13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1" s="46">
        <f>IFERROR(--(tblHistory[[#This Row],[Score]]&gt;=50),0)</f>
        <v/>
      </c>
      <c r="Y131" s="46">
        <f>IFERROR(--AND(tblHistory[[#This Row],[Score]]&gt;=60,OR(AND(tblHistory[[#This Row],[BIZD S]]&gt;=0.8,tblHistory[[#This Row],[BKLN S]]&gt;=0.5),tblHistory[[#This Row],[CCC S]]&gt;=0.8)),0)</f>
        <v/>
      </c>
      <c r="Z131" s="46">
        <f>IFERROR(--AND(tblHistory[[#This Row],[Score]]&gt;=70,tblHistory[[#This Row],[SOX S]]&gt;=0.83,tblHistory[[#This Row],[AIQ S]]&gt;=0.8),0)</f>
        <v/>
      </c>
      <c r="AA13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2">
      <c r="A132" s="42" t="n">
        <v>46136</v>
      </c>
      <c r="B132" s="43" t="n">
        <v>27303.6699</v>
      </c>
      <c r="C132" s="43" t="n">
        <v>10513.6602</v>
      </c>
      <c r="D132" s="43" t="n">
        <v>55.14</v>
      </c>
      <c r="E132" s="43" t="n">
        <v>28.7447</v>
      </c>
      <c r="F132" s="44" t="n">
        <v>100</v>
      </c>
      <c r="G132" s="44" t="n">
        <v>918</v>
      </c>
      <c r="H132" s="43" t="n">
        <v>12.0378</v>
      </c>
      <c r="I132" s="43" t="n">
        <v>19.8743</v>
      </c>
      <c r="J132" s="44" t="n">
        <v>286</v>
      </c>
      <c r="K13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2" s="46">
        <f>(Dashboard!$C$13*tblHistory[[#This Row],[NDX S]]+Dashboard!$C$14*tblHistory[[#This Row],[SOX S]]+Dashboard!$C$15*tblHistory[[#This Row],[AIQ S]])/(Dashboard!$C$13+Dashboard!$C$14+Dashboard!$C$15)*100</f>
        <v/>
      </c>
      <c r="U132" s="46">
        <f>(Dashboard!$C$16*tblHistory[[#This Row],[DTCR S]]+Dashboard!$C$17*tblHistory[[#This Row],[BBB S]]+Dashboard!$C$18*tblHistory[[#This Row],[CCC S]])/(Dashboard!$C$16+Dashboard!$C$17+Dashboard!$C$18)*100</f>
        <v/>
      </c>
      <c r="V132" s="46">
        <f>(Dashboard!$C$19*tblHistory[[#This Row],[BIZD S]]+Dashboard!$C$20*tblHistory[[#This Row],[BKLN S]]+Dashboard!$C$21*tblHistory[[#This Row],[HY S]])/(Dashboard!$C$19+Dashboard!$C$20+Dashboard!$C$21)*100</f>
        <v/>
      </c>
      <c r="W13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2" s="46">
        <f>IFERROR(--(tblHistory[[#This Row],[Score]]&gt;=50),0)</f>
        <v/>
      </c>
      <c r="Y132" s="46">
        <f>IFERROR(--AND(tblHistory[[#This Row],[Score]]&gt;=60,OR(AND(tblHistory[[#This Row],[BIZD S]]&gt;=0.8,tblHistory[[#This Row],[BKLN S]]&gt;=0.5),tblHistory[[#This Row],[CCC S]]&gt;=0.8)),0)</f>
        <v/>
      </c>
      <c r="Z132" s="46">
        <f>IFERROR(--AND(tblHistory[[#This Row],[Score]]&gt;=70,tblHistory[[#This Row],[SOX S]]&gt;=0.83,tblHistory[[#This Row],[AIQ S]]&gt;=0.8),0)</f>
        <v/>
      </c>
      <c r="AA13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3">
      <c r="A133" s="42" t="n">
        <v>46135</v>
      </c>
      <c r="B133" s="43" t="n">
        <v>26782.6309</v>
      </c>
      <c r="C133" s="43" t="n">
        <v>10078.5703</v>
      </c>
      <c r="D133" s="43" t="n">
        <v>53.51</v>
      </c>
      <c r="E133" s="43" t="n">
        <v>28.3362</v>
      </c>
      <c r="F133" s="44" t="n">
        <v>100</v>
      </c>
      <c r="G133" s="44" t="n">
        <v>915</v>
      </c>
      <c r="H133" s="43" t="n">
        <v>12.0473</v>
      </c>
      <c r="I133" s="43" t="n">
        <v>19.8743</v>
      </c>
      <c r="J133" s="44" t="n">
        <v>286</v>
      </c>
      <c r="K13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3" s="46">
        <f>(Dashboard!$C$13*tblHistory[[#This Row],[NDX S]]+Dashboard!$C$14*tblHistory[[#This Row],[SOX S]]+Dashboard!$C$15*tblHistory[[#This Row],[AIQ S]])/(Dashboard!$C$13+Dashboard!$C$14+Dashboard!$C$15)*100</f>
        <v/>
      </c>
      <c r="U133" s="46">
        <f>(Dashboard!$C$16*tblHistory[[#This Row],[DTCR S]]+Dashboard!$C$17*tblHistory[[#This Row],[BBB S]]+Dashboard!$C$18*tblHistory[[#This Row],[CCC S]])/(Dashboard!$C$16+Dashboard!$C$17+Dashboard!$C$18)*100</f>
        <v/>
      </c>
      <c r="V133" s="46">
        <f>(Dashboard!$C$19*tblHistory[[#This Row],[BIZD S]]+Dashboard!$C$20*tblHistory[[#This Row],[BKLN S]]+Dashboard!$C$21*tblHistory[[#This Row],[HY S]])/(Dashboard!$C$19+Dashboard!$C$20+Dashboard!$C$21)*100</f>
        <v/>
      </c>
      <c r="W13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3" s="46">
        <f>IFERROR(--(tblHistory[[#This Row],[Score]]&gt;=50),0)</f>
        <v/>
      </c>
      <c r="Y133" s="46">
        <f>IFERROR(--AND(tblHistory[[#This Row],[Score]]&gt;=60,OR(AND(tblHistory[[#This Row],[BIZD S]]&gt;=0.8,tblHistory[[#This Row],[BKLN S]]&gt;=0.5),tblHistory[[#This Row],[CCC S]]&gt;=0.8)),0)</f>
        <v/>
      </c>
      <c r="Z133" s="46">
        <f>IFERROR(--AND(tblHistory[[#This Row],[Score]]&gt;=70,tblHistory[[#This Row],[SOX S]]&gt;=0.83,tblHistory[[#This Row],[AIQ S]]&gt;=0.8),0)</f>
        <v/>
      </c>
      <c r="AA13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4">
      <c r="A134" s="42" t="n">
        <v>46134</v>
      </c>
      <c r="B134" s="43" t="n">
        <v>26937.2793</v>
      </c>
      <c r="C134" s="43" t="n">
        <v>9909.2695</v>
      </c>
      <c r="D134" s="43" t="n">
        <v>54.97</v>
      </c>
      <c r="E134" s="43" t="n">
        <v>27.9974</v>
      </c>
      <c r="F134" s="44" t="n">
        <v>99</v>
      </c>
      <c r="G134" s="44" t="n">
        <v>913</v>
      </c>
      <c r="H134" s="43" t="n">
        <v>12.3127</v>
      </c>
      <c r="I134" s="43" t="n">
        <v>19.9034</v>
      </c>
      <c r="J134" s="44" t="n">
        <v>284</v>
      </c>
      <c r="K13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4" s="46">
        <f>(Dashboard!$C$13*tblHistory[[#This Row],[NDX S]]+Dashboard!$C$14*tblHistory[[#This Row],[SOX S]]+Dashboard!$C$15*tblHistory[[#This Row],[AIQ S]])/(Dashboard!$C$13+Dashboard!$C$14+Dashboard!$C$15)*100</f>
        <v/>
      </c>
      <c r="U134" s="46">
        <f>(Dashboard!$C$16*tblHistory[[#This Row],[DTCR S]]+Dashboard!$C$17*tblHistory[[#This Row],[BBB S]]+Dashboard!$C$18*tblHistory[[#This Row],[CCC S]])/(Dashboard!$C$16+Dashboard!$C$17+Dashboard!$C$18)*100</f>
        <v/>
      </c>
      <c r="V134" s="46">
        <f>(Dashboard!$C$19*tblHistory[[#This Row],[BIZD S]]+Dashboard!$C$20*tblHistory[[#This Row],[BKLN S]]+Dashboard!$C$21*tblHistory[[#This Row],[HY S]])/(Dashboard!$C$19+Dashboard!$C$20+Dashboard!$C$21)*100</f>
        <v/>
      </c>
      <c r="W13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4" s="46">
        <f>IFERROR(--(tblHistory[[#This Row],[Score]]&gt;=50),0)</f>
        <v/>
      </c>
      <c r="Y134" s="46">
        <f>IFERROR(--AND(tblHistory[[#This Row],[Score]]&gt;=60,OR(AND(tblHistory[[#This Row],[BIZD S]]&gt;=0.8,tblHistory[[#This Row],[BKLN S]]&gt;=0.5),tblHistory[[#This Row],[CCC S]]&gt;=0.8)),0)</f>
        <v/>
      </c>
      <c r="Z134" s="46">
        <f>IFERROR(--AND(tblHistory[[#This Row],[Score]]&gt;=70,tblHistory[[#This Row],[SOX S]]&gt;=0.83,tblHistory[[#This Row],[AIQ S]]&gt;=0.8),0)</f>
        <v/>
      </c>
      <c r="AA13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5">
      <c r="A135" s="42" t="n">
        <v>46133</v>
      </c>
      <c r="B135" s="43" t="n">
        <v>26479.4707</v>
      </c>
      <c r="C135" s="43" t="n">
        <v>9647.209999999999</v>
      </c>
      <c r="D135" s="43" t="n">
        <v>53.69</v>
      </c>
      <c r="E135" s="43" t="n">
        <v>27.5989</v>
      </c>
      <c r="F135" s="44" t="n">
        <v>100</v>
      </c>
      <c r="G135" s="44" t="n">
        <v>913</v>
      </c>
      <c r="H135" s="43" t="n">
        <v>12.2084</v>
      </c>
      <c r="I135" s="43" t="n">
        <v>19.9034</v>
      </c>
      <c r="J135" s="44" t="n">
        <v>285</v>
      </c>
      <c r="K13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5" s="46">
        <f>(Dashboard!$C$13*tblHistory[[#This Row],[NDX S]]+Dashboard!$C$14*tblHistory[[#This Row],[SOX S]]+Dashboard!$C$15*tblHistory[[#This Row],[AIQ S]])/(Dashboard!$C$13+Dashboard!$C$14+Dashboard!$C$15)*100</f>
        <v/>
      </c>
      <c r="U135" s="46">
        <f>(Dashboard!$C$16*tblHistory[[#This Row],[DTCR S]]+Dashboard!$C$17*tblHistory[[#This Row],[BBB S]]+Dashboard!$C$18*tblHistory[[#This Row],[CCC S]])/(Dashboard!$C$16+Dashboard!$C$17+Dashboard!$C$18)*100</f>
        <v/>
      </c>
      <c r="V135" s="46">
        <f>(Dashboard!$C$19*tblHistory[[#This Row],[BIZD S]]+Dashboard!$C$20*tblHistory[[#This Row],[BKLN S]]+Dashboard!$C$21*tblHistory[[#This Row],[HY S]])/(Dashboard!$C$19+Dashboard!$C$20+Dashboard!$C$21)*100</f>
        <v/>
      </c>
      <c r="W13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5" s="46">
        <f>IFERROR(--(tblHistory[[#This Row],[Score]]&gt;=50),0)</f>
        <v/>
      </c>
      <c r="Y135" s="46">
        <f>IFERROR(--AND(tblHistory[[#This Row],[Score]]&gt;=60,OR(AND(tblHistory[[#This Row],[BIZD S]]&gt;=0.8,tblHistory[[#This Row],[BKLN S]]&gt;=0.5),tblHistory[[#This Row],[CCC S]]&gt;=0.8)),0)</f>
        <v/>
      </c>
      <c r="Z135" s="46">
        <f>IFERROR(--AND(tblHistory[[#This Row],[Score]]&gt;=70,tblHistory[[#This Row],[SOX S]]&gt;=0.83,tblHistory[[#This Row],[AIQ S]]&gt;=0.8),0)</f>
        <v/>
      </c>
      <c r="AA13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6">
      <c r="A136" s="42" t="n">
        <v>46132</v>
      </c>
      <c r="B136" s="43" t="n">
        <v>26590.3398</v>
      </c>
      <c r="C136" s="43" t="n">
        <v>9599.209999999999</v>
      </c>
      <c r="D136" s="43" t="n">
        <v>53.91</v>
      </c>
      <c r="E136" s="43" t="n">
        <v>28.0074</v>
      </c>
      <c r="F136" s="44" t="n">
        <v>101</v>
      </c>
      <c r="G136" s="44" t="n">
        <v>915</v>
      </c>
      <c r="H136" s="43" t="n">
        <v>12.4928</v>
      </c>
      <c r="I136" s="43" t="n">
        <v>19.9228</v>
      </c>
      <c r="J136" s="44" t="n">
        <v>287</v>
      </c>
      <c r="K13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6" s="46">
        <f>(Dashboard!$C$13*tblHistory[[#This Row],[NDX S]]+Dashboard!$C$14*tblHistory[[#This Row],[SOX S]]+Dashboard!$C$15*tblHistory[[#This Row],[AIQ S]])/(Dashboard!$C$13+Dashboard!$C$14+Dashboard!$C$15)*100</f>
        <v/>
      </c>
      <c r="U136" s="46">
        <f>(Dashboard!$C$16*tblHistory[[#This Row],[DTCR S]]+Dashboard!$C$17*tblHistory[[#This Row],[BBB S]]+Dashboard!$C$18*tblHistory[[#This Row],[CCC S]])/(Dashboard!$C$16+Dashboard!$C$17+Dashboard!$C$18)*100</f>
        <v/>
      </c>
      <c r="V136" s="46">
        <f>(Dashboard!$C$19*tblHistory[[#This Row],[BIZD S]]+Dashboard!$C$20*tblHistory[[#This Row],[BKLN S]]+Dashboard!$C$21*tblHistory[[#This Row],[HY S]])/(Dashboard!$C$19+Dashboard!$C$20+Dashboard!$C$21)*100</f>
        <v/>
      </c>
      <c r="W13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6" s="46">
        <f>IFERROR(--(tblHistory[[#This Row],[Score]]&gt;=50),0)</f>
        <v/>
      </c>
      <c r="Y136" s="46">
        <f>IFERROR(--AND(tblHistory[[#This Row],[Score]]&gt;=60,OR(AND(tblHistory[[#This Row],[BIZD S]]&gt;=0.8,tblHistory[[#This Row],[BKLN S]]&gt;=0.5),tblHistory[[#This Row],[CCC S]]&gt;=0.8)),0)</f>
        <v/>
      </c>
      <c r="Z136" s="46">
        <f>IFERROR(--AND(tblHistory[[#This Row],[Score]]&gt;=70,tblHistory[[#This Row],[SOX S]]&gt;=0.83,tblHistory[[#This Row],[AIQ S]]&gt;=0.8),0)</f>
        <v/>
      </c>
      <c r="AA13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7">
      <c r="A137" s="42" t="n">
        <v>46129</v>
      </c>
      <c r="B137" s="43" t="n">
        <v>26672.4297</v>
      </c>
      <c r="C137" s="43" t="n">
        <v>9555.8799</v>
      </c>
      <c r="D137" s="43" t="n">
        <v>54.1</v>
      </c>
      <c r="E137" s="43" t="n">
        <v>27.9376</v>
      </c>
      <c r="F137" s="44" t="n">
        <v>101</v>
      </c>
      <c r="G137" s="44" t="n">
        <v>912</v>
      </c>
      <c r="H137" s="43" t="n">
        <v>12.5117</v>
      </c>
      <c r="I137" s="43" t="n">
        <v>19.9179</v>
      </c>
      <c r="J137" s="44" t="n">
        <v>283</v>
      </c>
      <c r="K13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7" s="46">
        <f>(Dashboard!$C$13*tblHistory[[#This Row],[NDX S]]+Dashboard!$C$14*tblHistory[[#This Row],[SOX S]]+Dashboard!$C$15*tblHistory[[#This Row],[AIQ S]])/(Dashboard!$C$13+Dashboard!$C$14+Dashboard!$C$15)*100</f>
        <v/>
      </c>
      <c r="U137" s="46">
        <f>(Dashboard!$C$16*tblHistory[[#This Row],[DTCR S]]+Dashboard!$C$17*tblHistory[[#This Row],[BBB S]]+Dashboard!$C$18*tblHistory[[#This Row],[CCC S]])/(Dashboard!$C$16+Dashboard!$C$17+Dashboard!$C$18)*100</f>
        <v/>
      </c>
      <c r="V137" s="46">
        <f>(Dashboard!$C$19*tblHistory[[#This Row],[BIZD S]]+Dashboard!$C$20*tblHistory[[#This Row],[BKLN S]]+Dashboard!$C$21*tblHistory[[#This Row],[HY S]])/(Dashboard!$C$19+Dashboard!$C$20+Dashboard!$C$21)*100</f>
        <v/>
      </c>
      <c r="W13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7" s="46">
        <f>IFERROR(--(tblHistory[[#This Row],[Score]]&gt;=50),0)</f>
        <v/>
      </c>
      <c r="Y137" s="46">
        <f>IFERROR(--AND(tblHistory[[#This Row],[Score]]&gt;=60,OR(AND(tblHistory[[#This Row],[BIZD S]]&gt;=0.8,tblHistory[[#This Row],[BKLN S]]&gt;=0.5),tblHistory[[#This Row],[CCC S]]&gt;=0.8)),0)</f>
        <v/>
      </c>
      <c r="Z137" s="46">
        <f>IFERROR(--AND(tblHistory[[#This Row],[Score]]&gt;=70,tblHistory[[#This Row],[SOX S]]&gt;=0.83,tblHistory[[#This Row],[AIQ S]]&gt;=0.8),0)</f>
        <v/>
      </c>
      <c r="AA13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8">
      <c r="A138" s="42" t="n">
        <v>46128</v>
      </c>
      <c r="B138" s="43" t="n">
        <v>26333</v>
      </c>
      <c r="C138" s="43" t="n">
        <v>9329.3496</v>
      </c>
      <c r="D138" s="43" t="n">
        <v>53.49</v>
      </c>
      <c r="E138" s="43" t="n">
        <v>27.3996</v>
      </c>
      <c r="F138" s="44" t="n">
        <v>101</v>
      </c>
      <c r="G138" s="44" t="n">
        <v>921</v>
      </c>
      <c r="H138" s="43" t="n">
        <v>12.2843</v>
      </c>
      <c r="I138" s="43" t="n">
        <v>19.8023</v>
      </c>
      <c r="J138" s="44" t="n">
        <v>286</v>
      </c>
      <c r="K13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8" s="46">
        <f>(Dashboard!$C$13*tblHistory[[#This Row],[NDX S]]+Dashboard!$C$14*tblHistory[[#This Row],[SOX S]]+Dashboard!$C$15*tblHistory[[#This Row],[AIQ S]])/(Dashboard!$C$13+Dashboard!$C$14+Dashboard!$C$15)*100</f>
        <v/>
      </c>
      <c r="U138" s="46">
        <f>(Dashboard!$C$16*tblHistory[[#This Row],[DTCR S]]+Dashboard!$C$17*tblHistory[[#This Row],[BBB S]]+Dashboard!$C$18*tblHistory[[#This Row],[CCC S]])/(Dashboard!$C$16+Dashboard!$C$17+Dashboard!$C$18)*100</f>
        <v/>
      </c>
      <c r="V138" s="46">
        <f>(Dashboard!$C$19*tblHistory[[#This Row],[BIZD S]]+Dashboard!$C$20*tblHistory[[#This Row],[BKLN S]]+Dashboard!$C$21*tblHistory[[#This Row],[HY S]])/(Dashboard!$C$19+Dashboard!$C$20+Dashboard!$C$21)*100</f>
        <v/>
      </c>
      <c r="W13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8" s="46">
        <f>IFERROR(--(tblHistory[[#This Row],[Score]]&gt;=50),0)</f>
        <v/>
      </c>
      <c r="Y138" s="46">
        <f>IFERROR(--AND(tblHistory[[#This Row],[Score]]&gt;=60,OR(AND(tblHistory[[#This Row],[BIZD S]]&gt;=0.8,tblHistory[[#This Row],[BKLN S]]&gt;=0.5),tblHistory[[#This Row],[CCC S]]&gt;=0.8)),0)</f>
        <v/>
      </c>
      <c r="Z138" s="46">
        <f>IFERROR(--AND(tblHistory[[#This Row],[Score]]&gt;=70,tblHistory[[#This Row],[SOX S]]&gt;=0.83,tblHistory[[#This Row],[AIQ S]]&gt;=0.8),0)</f>
        <v/>
      </c>
      <c r="AA13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39">
      <c r="A139" s="42" t="n">
        <v>46127</v>
      </c>
      <c r="B139" s="43" t="n">
        <v>26204.5801</v>
      </c>
      <c r="C139" s="43" t="n">
        <v>9239.290000000001</v>
      </c>
      <c r="D139" s="43" t="n">
        <v>52.72</v>
      </c>
      <c r="E139" s="43" t="n">
        <v>26.9911</v>
      </c>
      <c r="F139" s="44" t="n">
        <v>101</v>
      </c>
      <c r="G139" s="44" t="n">
        <v>924</v>
      </c>
      <c r="H139" s="43" t="n">
        <v>12.4833</v>
      </c>
      <c r="I139" s="43" t="n">
        <v>19.7926</v>
      </c>
      <c r="J139" s="44" t="n">
        <v>285</v>
      </c>
      <c r="K13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3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3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3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3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3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3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3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3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39" s="46">
        <f>(Dashboard!$C$13*tblHistory[[#This Row],[NDX S]]+Dashboard!$C$14*tblHistory[[#This Row],[SOX S]]+Dashboard!$C$15*tblHistory[[#This Row],[AIQ S]])/(Dashboard!$C$13+Dashboard!$C$14+Dashboard!$C$15)*100</f>
        <v/>
      </c>
      <c r="U139" s="46">
        <f>(Dashboard!$C$16*tblHistory[[#This Row],[DTCR S]]+Dashboard!$C$17*tblHistory[[#This Row],[BBB S]]+Dashboard!$C$18*tblHistory[[#This Row],[CCC S]])/(Dashboard!$C$16+Dashboard!$C$17+Dashboard!$C$18)*100</f>
        <v/>
      </c>
      <c r="V139" s="46">
        <f>(Dashboard!$C$19*tblHistory[[#This Row],[BIZD S]]+Dashboard!$C$20*tblHistory[[#This Row],[BKLN S]]+Dashboard!$C$21*tblHistory[[#This Row],[HY S]])/(Dashboard!$C$19+Dashboard!$C$20+Dashboard!$C$21)*100</f>
        <v/>
      </c>
      <c r="W13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39" s="46">
        <f>IFERROR(--(tblHistory[[#This Row],[Score]]&gt;=50),0)</f>
        <v/>
      </c>
      <c r="Y139" s="46">
        <f>IFERROR(--AND(tblHistory[[#This Row],[Score]]&gt;=60,OR(AND(tblHistory[[#This Row],[BIZD S]]&gt;=0.8,tblHistory[[#This Row],[BKLN S]]&gt;=0.5),tblHistory[[#This Row],[CCC S]]&gt;=0.8)),0)</f>
        <v/>
      </c>
      <c r="Z139" s="46">
        <f>IFERROR(--AND(tblHistory[[#This Row],[Score]]&gt;=70,tblHistory[[#This Row],[SOX S]]&gt;=0.83,tblHistory[[#This Row],[AIQ S]]&gt;=0.8),0)</f>
        <v/>
      </c>
      <c r="AA13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3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3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3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3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0">
      <c r="A140" s="42" t="n">
        <v>46126</v>
      </c>
      <c r="B140" s="43" t="n">
        <v>25842</v>
      </c>
      <c r="C140" s="43" t="n">
        <v>9224.1201</v>
      </c>
      <c r="D140" s="43" t="n">
        <v>51.83</v>
      </c>
      <c r="E140" s="43" t="n">
        <v>27.0409</v>
      </c>
      <c r="F140" s="44" t="n">
        <v>102</v>
      </c>
      <c r="G140" s="44" t="n">
        <v>931</v>
      </c>
      <c r="H140" s="43" t="n">
        <v>12.18</v>
      </c>
      <c r="I140" s="43" t="n">
        <v>19.7926</v>
      </c>
      <c r="J140" s="44" t="n">
        <v>284</v>
      </c>
      <c r="K14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0" s="46">
        <f>(Dashboard!$C$13*tblHistory[[#This Row],[NDX S]]+Dashboard!$C$14*tblHistory[[#This Row],[SOX S]]+Dashboard!$C$15*tblHistory[[#This Row],[AIQ S]])/(Dashboard!$C$13+Dashboard!$C$14+Dashboard!$C$15)*100</f>
        <v/>
      </c>
      <c r="U140" s="46">
        <f>(Dashboard!$C$16*tblHistory[[#This Row],[DTCR S]]+Dashboard!$C$17*tblHistory[[#This Row],[BBB S]]+Dashboard!$C$18*tblHistory[[#This Row],[CCC S]])/(Dashboard!$C$16+Dashboard!$C$17+Dashboard!$C$18)*100</f>
        <v/>
      </c>
      <c r="V140" s="46">
        <f>(Dashboard!$C$19*tblHistory[[#This Row],[BIZD S]]+Dashboard!$C$20*tblHistory[[#This Row],[BKLN S]]+Dashboard!$C$21*tblHistory[[#This Row],[HY S]])/(Dashboard!$C$19+Dashboard!$C$20+Dashboard!$C$21)*100</f>
        <v/>
      </c>
      <c r="W14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0" s="46">
        <f>IFERROR(--(tblHistory[[#This Row],[Score]]&gt;=50),0)</f>
        <v/>
      </c>
      <c r="Y140" s="46">
        <f>IFERROR(--AND(tblHistory[[#This Row],[Score]]&gt;=60,OR(AND(tblHistory[[#This Row],[BIZD S]]&gt;=0.8,tblHistory[[#This Row],[BKLN S]]&gt;=0.5),tblHistory[[#This Row],[CCC S]]&gt;=0.8)),0)</f>
        <v/>
      </c>
      <c r="Z140" s="46">
        <f>IFERROR(--AND(tblHistory[[#This Row],[Score]]&gt;=70,tblHistory[[#This Row],[SOX S]]&gt;=0.83,tblHistory[[#This Row],[AIQ S]]&gt;=0.8),0)</f>
        <v/>
      </c>
      <c r="AA14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1">
      <c r="A141" s="42" t="n">
        <v>46125</v>
      </c>
      <c r="B141" s="43" t="n">
        <v>25383.7207</v>
      </c>
      <c r="C141" s="43" t="n">
        <v>9039.5195</v>
      </c>
      <c r="D141" s="43" t="n">
        <v>50.58</v>
      </c>
      <c r="E141" s="43" t="n">
        <v>26.5627</v>
      </c>
      <c r="F141" s="44" t="n">
        <v>104</v>
      </c>
      <c r="G141" s="44" t="n">
        <v>958</v>
      </c>
      <c r="H141" s="43" t="n">
        <v>11.8577</v>
      </c>
      <c r="I141" s="43" t="n">
        <v>19.7637</v>
      </c>
      <c r="J141" s="44" t="n">
        <v>295</v>
      </c>
      <c r="K14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1" s="46">
        <f>(Dashboard!$C$13*tblHistory[[#This Row],[NDX S]]+Dashboard!$C$14*tblHistory[[#This Row],[SOX S]]+Dashboard!$C$15*tblHistory[[#This Row],[AIQ S]])/(Dashboard!$C$13+Dashboard!$C$14+Dashboard!$C$15)*100</f>
        <v/>
      </c>
      <c r="U141" s="46">
        <f>(Dashboard!$C$16*tblHistory[[#This Row],[DTCR S]]+Dashboard!$C$17*tblHistory[[#This Row],[BBB S]]+Dashboard!$C$18*tblHistory[[#This Row],[CCC S]])/(Dashboard!$C$16+Dashboard!$C$17+Dashboard!$C$18)*100</f>
        <v/>
      </c>
      <c r="V141" s="46">
        <f>(Dashboard!$C$19*tblHistory[[#This Row],[BIZD S]]+Dashboard!$C$20*tblHistory[[#This Row],[BKLN S]]+Dashboard!$C$21*tblHistory[[#This Row],[HY S]])/(Dashboard!$C$19+Dashboard!$C$20+Dashboard!$C$21)*100</f>
        <v/>
      </c>
      <c r="W14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1" s="46">
        <f>IFERROR(--(tblHistory[[#This Row],[Score]]&gt;=50),0)</f>
        <v/>
      </c>
      <c r="Y141" s="46">
        <f>IFERROR(--AND(tblHistory[[#This Row],[Score]]&gt;=60,OR(AND(tblHistory[[#This Row],[BIZD S]]&gt;=0.8,tblHistory[[#This Row],[BKLN S]]&gt;=0.5),tblHistory[[#This Row],[CCC S]]&gt;=0.8)),0)</f>
        <v/>
      </c>
      <c r="Z141" s="46">
        <f>IFERROR(--AND(tblHistory[[#This Row],[Score]]&gt;=70,tblHistory[[#This Row],[SOX S]]&gt;=0.83,tblHistory[[#This Row],[AIQ S]]&gt;=0.8),0)</f>
        <v/>
      </c>
      <c r="AA14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2">
      <c r="A142" s="42" t="n">
        <v>46122</v>
      </c>
      <c r="B142" s="43" t="n">
        <v>25116.3398</v>
      </c>
      <c r="C142" s="43" t="n">
        <v>8889.830099999999</v>
      </c>
      <c r="D142" s="43" t="n">
        <v>49.37</v>
      </c>
      <c r="E142" s="43" t="n">
        <v>26.204</v>
      </c>
      <c r="F142" s="44" t="n">
        <v>104</v>
      </c>
      <c r="G142" s="44" t="n">
        <v>954</v>
      </c>
      <c r="H142" s="43" t="n">
        <v>11.7155</v>
      </c>
      <c r="I142" s="43" t="n">
        <v>19.7445</v>
      </c>
      <c r="J142" s="44" t="n">
        <v>294</v>
      </c>
      <c r="K14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2" s="46">
        <f>(Dashboard!$C$13*tblHistory[[#This Row],[NDX S]]+Dashboard!$C$14*tblHistory[[#This Row],[SOX S]]+Dashboard!$C$15*tblHistory[[#This Row],[AIQ S]])/(Dashboard!$C$13+Dashboard!$C$14+Dashboard!$C$15)*100</f>
        <v/>
      </c>
      <c r="U142" s="46">
        <f>(Dashboard!$C$16*tblHistory[[#This Row],[DTCR S]]+Dashboard!$C$17*tblHistory[[#This Row],[BBB S]]+Dashboard!$C$18*tblHistory[[#This Row],[CCC S]])/(Dashboard!$C$16+Dashboard!$C$17+Dashboard!$C$18)*100</f>
        <v/>
      </c>
      <c r="V142" s="46">
        <f>(Dashboard!$C$19*tblHistory[[#This Row],[BIZD S]]+Dashboard!$C$20*tblHistory[[#This Row],[BKLN S]]+Dashboard!$C$21*tblHistory[[#This Row],[HY S]])/(Dashboard!$C$19+Dashboard!$C$20+Dashboard!$C$21)*100</f>
        <v/>
      </c>
      <c r="W14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2" s="46">
        <f>IFERROR(--(tblHistory[[#This Row],[Score]]&gt;=50),0)</f>
        <v/>
      </c>
      <c r="Y142" s="46">
        <f>IFERROR(--AND(tblHistory[[#This Row],[Score]]&gt;=60,OR(AND(tblHistory[[#This Row],[BIZD S]]&gt;=0.8,tblHistory[[#This Row],[BKLN S]]&gt;=0.5),tblHistory[[#This Row],[CCC S]]&gt;=0.8)),0)</f>
        <v/>
      </c>
      <c r="Z142" s="46">
        <f>IFERROR(--AND(tblHistory[[#This Row],[Score]]&gt;=70,tblHistory[[#This Row],[SOX S]]&gt;=0.83,tblHistory[[#This Row],[AIQ S]]&gt;=0.8),0)</f>
        <v/>
      </c>
      <c r="AA14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3">
      <c r="A143" s="42" t="n">
        <v>46121</v>
      </c>
      <c r="B143" s="43" t="n">
        <v>25082.0898</v>
      </c>
      <c r="C143" s="43" t="n">
        <v>8689.5303</v>
      </c>
      <c r="D143" s="43" t="n">
        <v>49.35</v>
      </c>
      <c r="E143" s="43" t="n">
        <v>25.935</v>
      </c>
      <c r="F143" s="44" t="n">
        <v>105</v>
      </c>
      <c r="G143" s="44" t="n">
        <v>946</v>
      </c>
      <c r="H143" s="43" t="n">
        <v>11.6587</v>
      </c>
      <c r="I143" s="43" t="n">
        <v>19.8119</v>
      </c>
      <c r="J143" s="44" t="n">
        <v>290</v>
      </c>
      <c r="K14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3" s="46">
        <f>(Dashboard!$C$13*tblHistory[[#This Row],[NDX S]]+Dashboard!$C$14*tblHistory[[#This Row],[SOX S]]+Dashboard!$C$15*tblHistory[[#This Row],[AIQ S]])/(Dashboard!$C$13+Dashboard!$C$14+Dashboard!$C$15)*100</f>
        <v/>
      </c>
      <c r="U143" s="46">
        <f>(Dashboard!$C$16*tblHistory[[#This Row],[DTCR S]]+Dashboard!$C$17*tblHistory[[#This Row],[BBB S]]+Dashboard!$C$18*tblHistory[[#This Row],[CCC S]])/(Dashboard!$C$16+Dashboard!$C$17+Dashboard!$C$18)*100</f>
        <v/>
      </c>
      <c r="V143" s="46">
        <f>(Dashboard!$C$19*tblHistory[[#This Row],[BIZD S]]+Dashboard!$C$20*tblHistory[[#This Row],[BKLN S]]+Dashboard!$C$21*tblHistory[[#This Row],[HY S]])/(Dashboard!$C$19+Dashboard!$C$20+Dashboard!$C$21)*100</f>
        <v/>
      </c>
      <c r="W14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3" s="46">
        <f>IFERROR(--(tblHistory[[#This Row],[Score]]&gt;=50),0)</f>
        <v/>
      </c>
      <c r="Y143" s="46">
        <f>IFERROR(--AND(tblHistory[[#This Row],[Score]]&gt;=60,OR(AND(tblHistory[[#This Row],[BIZD S]]&gt;=0.8,tblHistory[[#This Row],[BKLN S]]&gt;=0.5),tblHistory[[#This Row],[CCC S]]&gt;=0.8)),0)</f>
        <v/>
      </c>
      <c r="Z143" s="46">
        <f>IFERROR(--AND(tblHistory[[#This Row],[Score]]&gt;=70,tblHistory[[#This Row],[SOX S]]&gt;=0.83,tblHistory[[#This Row],[AIQ S]]&gt;=0.8),0)</f>
        <v/>
      </c>
      <c r="AA14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4">
      <c r="A144" s="42" t="n">
        <v>46120</v>
      </c>
      <c r="B144" s="43" t="n">
        <v>24903.1699</v>
      </c>
      <c r="C144" s="43" t="n">
        <v>8510.919900000001</v>
      </c>
      <c r="D144" s="43" t="n">
        <v>49.6</v>
      </c>
      <c r="E144" s="43" t="n">
        <v>25.7158</v>
      </c>
      <c r="F144" s="44" t="n">
        <v>105</v>
      </c>
      <c r="G144" s="44" t="n">
        <v>953</v>
      </c>
      <c r="H144" s="43" t="n">
        <v>11.744</v>
      </c>
      <c r="I144" s="43" t="n">
        <v>19.8505</v>
      </c>
      <c r="J144" s="44" t="n">
        <v>294</v>
      </c>
      <c r="K14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4" s="46">
        <f>(Dashboard!$C$13*tblHistory[[#This Row],[NDX S]]+Dashboard!$C$14*tblHistory[[#This Row],[SOX S]]+Dashboard!$C$15*tblHistory[[#This Row],[AIQ S]])/(Dashboard!$C$13+Dashboard!$C$14+Dashboard!$C$15)*100</f>
        <v/>
      </c>
      <c r="U144" s="46">
        <f>(Dashboard!$C$16*tblHistory[[#This Row],[DTCR S]]+Dashboard!$C$17*tblHistory[[#This Row],[BBB S]]+Dashboard!$C$18*tblHistory[[#This Row],[CCC S]])/(Dashboard!$C$16+Dashboard!$C$17+Dashboard!$C$18)*100</f>
        <v/>
      </c>
      <c r="V144" s="46">
        <f>(Dashboard!$C$19*tblHistory[[#This Row],[BIZD S]]+Dashboard!$C$20*tblHistory[[#This Row],[BKLN S]]+Dashboard!$C$21*tblHistory[[#This Row],[HY S]])/(Dashboard!$C$19+Dashboard!$C$20+Dashboard!$C$21)*100</f>
        <v/>
      </c>
      <c r="W14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4" s="46">
        <f>IFERROR(--(tblHistory[[#This Row],[Score]]&gt;=50),0)</f>
        <v/>
      </c>
      <c r="Y144" s="46">
        <f>IFERROR(--AND(tblHistory[[#This Row],[Score]]&gt;=60,OR(AND(tblHistory[[#This Row],[BIZD S]]&gt;=0.8,tblHistory[[#This Row],[BKLN S]]&gt;=0.5),tblHistory[[#This Row],[CCC S]]&gt;=0.8)),0)</f>
        <v/>
      </c>
      <c r="Z144" s="46">
        <f>IFERROR(--AND(tblHistory[[#This Row],[Score]]&gt;=70,tblHistory[[#This Row],[SOX S]]&gt;=0.83,tblHistory[[#This Row],[AIQ S]]&gt;=0.8),0)</f>
        <v/>
      </c>
      <c r="AA14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5">
      <c r="A145" s="42" t="n">
        <v>46119</v>
      </c>
      <c r="B145" s="43" t="n">
        <v>24202.3691</v>
      </c>
      <c r="C145" s="43" t="n">
        <v>8003.8701</v>
      </c>
      <c r="D145" s="43" t="n">
        <v>47.85</v>
      </c>
      <c r="E145" s="43" t="n">
        <v>24.8091</v>
      </c>
      <c r="F145" s="44" t="n">
        <v>108</v>
      </c>
      <c r="G145" s="44" t="n">
        <v>983</v>
      </c>
      <c r="H145" s="43" t="n">
        <v>11.7535</v>
      </c>
      <c r="I145" s="43" t="n">
        <v>19.7541</v>
      </c>
      <c r="J145" s="44" t="n">
        <v>312</v>
      </c>
      <c r="K14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5" s="46">
        <f>(Dashboard!$C$13*tblHistory[[#This Row],[NDX S]]+Dashboard!$C$14*tblHistory[[#This Row],[SOX S]]+Dashboard!$C$15*tblHistory[[#This Row],[AIQ S]])/(Dashboard!$C$13+Dashboard!$C$14+Dashboard!$C$15)*100</f>
        <v/>
      </c>
      <c r="U145" s="46">
        <f>(Dashboard!$C$16*tblHistory[[#This Row],[DTCR S]]+Dashboard!$C$17*tblHistory[[#This Row],[BBB S]]+Dashboard!$C$18*tblHistory[[#This Row],[CCC S]])/(Dashboard!$C$16+Dashboard!$C$17+Dashboard!$C$18)*100</f>
        <v/>
      </c>
      <c r="V145" s="46">
        <f>(Dashboard!$C$19*tblHistory[[#This Row],[BIZD S]]+Dashboard!$C$20*tblHistory[[#This Row],[BKLN S]]+Dashboard!$C$21*tblHistory[[#This Row],[HY S]])/(Dashboard!$C$19+Dashboard!$C$20+Dashboard!$C$21)*100</f>
        <v/>
      </c>
      <c r="W14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5" s="46">
        <f>IFERROR(--(tblHistory[[#This Row],[Score]]&gt;=50),0)</f>
        <v/>
      </c>
      <c r="Y145" s="46">
        <f>IFERROR(--AND(tblHistory[[#This Row],[Score]]&gt;=60,OR(AND(tblHistory[[#This Row],[BIZD S]]&gt;=0.8,tblHistory[[#This Row],[BKLN S]]&gt;=0.5),tblHistory[[#This Row],[CCC S]]&gt;=0.8)),0)</f>
        <v/>
      </c>
      <c r="Z145" s="46">
        <f>IFERROR(--AND(tblHistory[[#This Row],[Score]]&gt;=70,tblHistory[[#This Row],[SOX S]]&gt;=0.83,tblHistory[[#This Row],[AIQ S]]&gt;=0.8),0)</f>
        <v/>
      </c>
      <c r="AA14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6">
      <c r="A146" s="42" t="n">
        <v>46118</v>
      </c>
      <c r="B146" s="43" t="n">
        <v>24192.1699</v>
      </c>
      <c r="C146" s="43" t="n">
        <v>7916.1099</v>
      </c>
      <c r="D146" s="43" t="n">
        <v>47.75</v>
      </c>
      <c r="E146" s="43" t="n">
        <v>24.8191</v>
      </c>
      <c r="F146" s="44" t="n">
        <v>107</v>
      </c>
      <c r="G146" s="44" t="n">
        <v>976</v>
      </c>
      <c r="H146" s="43" t="n">
        <v>11.8767</v>
      </c>
      <c r="I146" s="43" t="n">
        <v>19.7348</v>
      </c>
      <c r="J146" s="44" t="n">
        <v>305</v>
      </c>
      <c r="K14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6" s="46">
        <f>(Dashboard!$C$13*tblHistory[[#This Row],[NDX S]]+Dashboard!$C$14*tblHistory[[#This Row],[SOX S]]+Dashboard!$C$15*tblHistory[[#This Row],[AIQ S]])/(Dashboard!$C$13+Dashboard!$C$14+Dashboard!$C$15)*100</f>
        <v/>
      </c>
      <c r="U146" s="46">
        <f>(Dashboard!$C$16*tblHistory[[#This Row],[DTCR S]]+Dashboard!$C$17*tblHistory[[#This Row],[BBB S]]+Dashboard!$C$18*tblHistory[[#This Row],[CCC S]])/(Dashboard!$C$16+Dashboard!$C$17+Dashboard!$C$18)*100</f>
        <v/>
      </c>
      <c r="V146" s="46">
        <f>(Dashboard!$C$19*tblHistory[[#This Row],[BIZD S]]+Dashboard!$C$20*tblHistory[[#This Row],[BKLN S]]+Dashboard!$C$21*tblHistory[[#This Row],[HY S]])/(Dashboard!$C$19+Dashboard!$C$20+Dashboard!$C$21)*100</f>
        <v/>
      </c>
      <c r="W14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6" s="46">
        <f>IFERROR(--(tblHistory[[#This Row],[Score]]&gt;=50),0)</f>
        <v/>
      </c>
      <c r="Y146" s="46">
        <f>IFERROR(--AND(tblHistory[[#This Row],[Score]]&gt;=60,OR(AND(tblHistory[[#This Row],[BIZD S]]&gt;=0.8,tblHistory[[#This Row],[BKLN S]]&gt;=0.5),tblHistory[[#This Row],[CCC S]]&gt;=0.8)),0)</f>
        <v/>
      </c>
      <c r="Z146" s="46">
        <f>IFERROR(--AND(tblHistory[[#This Row],[Score]]&gt;=70,tblHistory[[#This Row],[SOX S]]&gt;=0.83,tblHistory[[#This Row],[AIQ S]]&gt;=0.8),0)</f>
        <v/>
      </c>
      <c r="AA14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7">
      <c r="A147" s="42" t="n">
        <v>46114</v>
      </c>
      <c r="B147" s="43" t="n">
        <v>24045.5293</v>
      </c>
      <c r="C147" s="43" t="n">
        <v>7833.3901</v>
      </c>
      <c r="D147" s="43" t="n">
        <v>47.27</v>
      </c>
      <c r="E147" s="43" t="n">
        <v>24.5102</v>
      </c>
      <c r="F147" s="44" t="n">
        <v>109</v>
      </c>
      <c r="G147" s="44" t="n">
        <v>988</v>
      </c>
      <c r="H147" s="43" t="n">
        <v>11.725</v>
      </c>
      <c r="I147" s="43" t="n">
        <v>19.7348</v>
      </c>
      <c r="J147" s="44" t="n">
        <v>317</v>
      </c>
      <c r="K14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7" s="46">
        <f>(Dashboard!$C$13*tblHistory[[#This Row],[NDX S]]+Dashboard!$C$14*tblHistory[[#This Row],[SOX S]]+Dashboard!$C$15*tblHistory[[#This Row],[AIQ S]])/(Dashboard!$C$13+Dashboard!$C$14+Dashboard!$C$15)*100</f>
        <v/>
      </c>
      <c r="U147" s="46">
        <f>(Dashboard!$C$16*tblHistory[[#This Row],[DTCR S]]+Dashboard!$C$17*tblHistory[[#This Row],[BBB S]]+Dashboard!$C$18*tblHistory[[#This Row],[CCC S]])/(Dashboard!$C$16+Dashboard!$C$17+Dashboard!$C$18)*100</f>
        <v/>
      </c>
      <c r="V147" s="46">
        <f>(Dashboard!$C$19*tblHistory[[#This Row],[BIZD S]]+Dashboard!$C$20*tblHistory[[#This Row],[BKLN S]]+Dashboard!$C$21*tblHistory[[#This Row],[HY S]])/(Dashboard!$C$19+Dashboard!$C$20+Dashboard!$C$21)*100</f>
        <v/>
      </c>
      <c r="W14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7" s="46">
        <f>IFERROR(--(tblHistory[[#This Row],[Score]]&gt;=50),0)</f>
        <v/>
      </c>
      <c r="Y147" s="46">
        <f>IFERROR(--AND(tblHistory[[#This Row],[Score]]&gt;=60,OR(AND(tblHistory[[#This Row],[BIZD S]]&gt;=0.8,tblHistory[[#This Row],[BKLN S]]&gt;=0.5),tblHistory[[#This Row],[CCC S]]&gt;=0.8)),0)</f>
        <v/>
      </c>
      <c r="Z147" s="46">
        <f>IFERROR(--AND(tblHistory[[#This Row],[Score]]&gt;=70,tblHistory[[#This Row],[SOX S]]&gt;=0.83,tblHistory[[#This Row],[AIQ S]]&gt;=0.8),0)</f>
        <v/>
      </c>
      <c r="AA14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8">
      <c r="A148" s="42" t="n">
        <v>46113</v>
      </c>
      <c r="B148" s="43" t="n">
        <v>24019.9902</v>
      </c>
      <c r="C148" s="43" t="n">
        <v>7802.3101</v>
      </c>
      <c r="D148" s="43" t="n">
        <v>47.34</v>
      </c>
      <c r="E148" s="43" t="n">
        <v>24.2511</v>
      </c>
      <c r="F148" s="44" t="n">
        <v>110</v>
      </c>
      <c r="G148" s="44" t="n">
        <v>981</v>
      </c>
      <c r="H148" s="43" t="n">
        <v>11.4786</v>
      </c>
      <c r="I148" s="43" t="n">
        <v>19.7059</v>
      </c>
      <c r="J148" s="44" t="n">
        <v>316</v>
      </c>
      <c r="K14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8" s="46">
        <f>(Dashboard!$C$13*tblHistory[[#This Row],[NDX S]]+Dashboard!$C$14*tblHistory[[#This Row],[SOX S]]+Dashboard!$C$15*tblHistory[[#This Row],[AIQ S]])/(Dashboard!$C$13+Dashboard!$C$14+Dashboard!$C$15)*100</f>
        <v/>
      </c>
      <c r="U148" s="46">
        <f>(Dashboard!$C$16*tblHistory[[#This Row],[DTCR S]]+Dashboard!$C$17*tblHistory[[#This Row],[BBB S]]+Dashboard!$C$18*tblHistory[[#This Row],[CCC S]])/(Dashboard!$C$16+Dashboard!$C$17+Dashboard!$C$18)*100</f>
        <v/>
      </c>
      <c r="V148" s="46">
        <f>(Dashboard!$C$19*tblHistory[[#This Row],[BIZD S]]+Dashboard!$C$20*tblHistory[[#This Row],[BKLN S]]+Dashboard!$C$21*tblHistory[[#This Row],[HY S]])/(Dashboard!$C$19+Dashboard!$C$20+Dashboard!$C$21)*100</f>
        <v/>
      </c>
      <c r="W14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8" s="46">
        <f>IFERROR(--(tblHistory[[#This Row],[Score]]&gt;=50),0)</f>
        <v/>
      </c>
      <c r="Y148" s="46">
        <f>IFERROR(--AND(tblHistory[[#This Row],[Score]]&gt;=60,OR(AND(tblHistory[[#This Row],[BIZD S]]&gt;=0.8,tblHistory[[#This Row],[BKLN S]]&gt;=0.5),tblHistory[[#This Row],[CCC S]]&gt;=0.8)),0)</f>
        <v/>
      </c>
      <c r="Z148" s="46">
        <f>IFERROR(--AND(tblHistory[[#This Row],[Score]]&gt;=70,tblHistory[[#This Row],[SOX S]]&gt;=0.83,tblHistory[[#This Row],[AIQ S]]&gt;=0.8),0)</f>
        <v/>
      </c>
      <c r="AA14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49">
      <c r="A149" s="42" t="n">
        <v>46112</v>
      </c>
      <c r="B149" s="43" t="n">
        <v>23740.1895</v>
      </c>
      <c r="C149" s="43" t="n">
        <v>7588.2002</v>
      </c>
      <c r="D149" s="43" t="n">
        <v>46.67</v>
      </c>
      <c r="E149" s="43" t="n">
        <v>23.8725</v>
      </c>
      <c r="F149" s="44" t="n">
        <v>113</v>
      </c>
      <c r="G149" s="44" t="n">
        <v>994</v>
      </c>
      <c r="H149" s="43" t="n">
        <v>11.6757</v>
      </c>
      <c r="I149" s="43" t="n">
        <v>19.6674</v>
      </c>
      <c r="J149" s="44" t="n">
        <v>328</v>
      </c>
      <c r="K14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4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4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4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4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4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4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4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4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49" s="46">
        <f>(Dashboard!$C$13*tblHistory[[#This Row],[NDX S]]+Dashboard!$C$14*tblHistory[[#This Row],[SOX S]]+Dashboard!$C$15*tblHistory[[#This Row],[AIQ S]])/(Dashboard!$C$13+Dashboard!$C$14+Dashboard!$C$15)*100</f>
        <v/>
      </c>
      <c r="U149" s="46">
        <f>(Dashboard!$C$16*tblHistory[[#This Row],[DTCR S]]+Dashboard!$C$17*tblHistory[[#This Row],[BBB S]]+Dashboard!$C$18*tblHistory[[#This Row],[CCC S]])/(Dashboard!$C$16+Dashboard!$C$17+Dashboard!$C$18)*100</f>
        <v/>
      </c>
      <c r="V149" s="46">
        <f>(Dashboard!$C$19*tblHistory[[#This Row],[BIZD S]]+Dashboard!$C$20*tblHistory[[#This Row],[BKLN S]]+Dashboard!$C$21*tblHistory[[#This Row],[HY S]])/(Dashboard!$C$19+Dashboard!$C$20+Dashboard!$C$21)*100</f>
        <v/>
      </c>
      <c r="W14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49" s="46">
        <f>IFERROR(--(tblHistory[[#This Row],[Score]]&gt;=50),0)</f>
        <v/>
      </c>
      <c r="Y149" s="46">
        <f>IFERROR(--AND(tblHistory[[#This Row],[Score]]&gt;=60,OR(AND(tblHistory[[#This Row],[BIZD S]]&gt;=0.8,tblHistory[[#This Row],[BKLN S]]&gt;=0.5),tblHistory[[#This Row],[CCC S]]&gt;=0.8)),0)</f>
        <v/>
      </c>
      <c r="Z149" s="46">
        <f>IFERROR(--AND(tblHistory[[#This Row],[Score]]&gt;=70,tblHistory[[#This Row],[SOX S]]&gt;=0.83,tblHistory[[#This Row],[AIQ S]]&gt;=0.8),0)</f>
        <v/>
      </c>
      <c r="AA14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4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4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4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4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0">
      <c r="A150" s="42" t="n">
        <v>46111</v>
      </c>
      <c r="B150" s="43" t="n">
        <v>22953.3809</v>
      </c>
      <c r="C150" s="43" t="n">
        <v>7142.3301</v>
      </c>
      <c r="D150" s="43" t="n">
        <v>44.78</v>
      </c>
      <c r="E150" s="43" t="n">
        <v>22.9758</v>
      </c>
      <c r="F150" s="44" t="n">
        <v>116</v>
      </c>
      <c r="G150" s="44" t="n">
        <v>1020</v>
      </c>
      <c r="H150" s="43" t="n">
        <v>11.4112</v>
      </c>
      <c r="I150" s="43" t="n">
        <v>19.571</v>
      </c>
      <c r="J150" s="44" t="n">
        <v>346</v>
      </c>
      <c r="K15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0" s="46">
        <f>(Dashboard!$C$13*tblHistory[[#This Row],[NDX S]]+Dashboard!$C$14*tblHistory[[#This Row],[SOX S]]+Dashboard!$C$15*tblHistory[[#This Row],[AIQ S]])/(Dashboard!$C$13+Dashboard!$C$14+Dashboard!$C$15)*100</f>
        <v/>
      </c>
      <c r="U150" s="46">
        <f>(Dashboard!$C$16*tblHistory[[#This Row],[DTCR S]]+Dashboard!$C$17*tblHistory[[#This Row],[BBB S]]+Dashboard!$C$18*tblHistory[[#This Row],[CCC S]])/(Dashboard!$C$16+Dashboard!$C$17+Dashboard!$C$18)*100</f>
        <v/>
      </c>
      <c r="V150" s="46">
        <f>(Dashboard!$C$19*tblHistory[[#This Row],[BIZD S]]+Dashboard!$C$20*tblHistory[[#This Row],[BKLN S]]+Dashboard!$C$21*tblHistory[[#This Row],[HY S]])/(Dashboard!$C$19+Dashboard!$C$20+Dashboard!$C$21)*100</f>
        <v/>
      </c>
      <c r="W15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0" s="46">
        <f>IFERROR(--(tblHistory[[#This Row],[Score]]&gt;=50),0)</f>
        <v/>
      </c>
      <c r="Y150" s="46">
        <f>IFERROR(--AND(tblHistory[[#This Row],[Score]]&gt;=60,OR(AND(tblHistory[[#This Row],[BIZD S]]&gt;=0.8,tblHistory[[#This Row],[BKLN S]]&gt;=0.5),tblHistory[[#This Row],[CCC S]]&gt;=0.8)),0)</f>
        <v/>
      </c>
      <c r="Z150" s="46">
        <f>IFERROR(--AND(tblHistory[[#This Row],[Score]]&gt;=70,tblHistory[[#This Row],[SOX S]]&gt;=0.83,tblHistory[[#This Row],[AIQ S]]&gt;=0.8),0)</f>
        <v/>
      </c>
      <c r="AA15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1">
      <c r="A151" s="42" t="n">
        <v>46108</v>
      </c>
      <c r="B151" s="43" t="n">
        <v>23132.7695</v>
      </c>
      <c r="C151" s="43" t="n">
        <v>7457.6699</v>
      </c>
      <c r="D151" s="43" t="n">
        <v>45.47</v>
      </c>
      <c r="E151" s="43" t="n">
        <v>23.2946</v>
      </c>
      <c r="F151" s="44" t="n">
        <v>114</v>
      </c>
      <c r="G151" s="44" t="n">
        <v>1013</v>
      </c>
      <c r="H151" s="43" t="n">
        <v>11.2926</v>
      </c>
      <c r="I151" s="43" t="n">
        <v>19.5903</v>
      </c>
      <c r="J151" s="44" t="n">
        <v>342</v>
      </c>
      <c r="K15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1" s="46">
        <f>(Dashboard!$C$13*tblHistory[[#This Row],[NDX S]]+Dashboard!$C$14*tblHistory[[#This Row],[SOX S]]+Dashboard!$C$15*tblHistory[[#This Row],[AIQ S]])/(Dashboard!$C$13+Dashboard!$C$14+Dashboard!$C$15)*100</f>
        <v/>
      </c>
      <c r="U151" s="46">
        <f>(Dashboard!$C$16*tblHistory[[#This Row],[DTCR S]]+Dashboard!$C$17*tblHistory[[#This Row],[BBB S]]+Dashboard!$C$18*tblHistory[[#This Row],[CCC S]])/(Dashboard!$C$16+Dashboard!$C$17+Dashboard!$C$18)*100</f>
        <v/>
      </c>
      <c r="V151" s="46">
        <f>(Dashboard!$C$19*tblHistory[[#This Row],[BIZD S]]+Dashboard!$C$20*tblHistory[[#This Row],[BKLN S]]+Dashboard!$C$21*tblHistory[[#This Row],[HY S]])/(Dashboard!$C$19+Dashboard!$C$20+Dashboard!$C$21)*100</f>
        <v/>
      </c>
      <c r="W15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1" s="46">
        <f>IFERROR(--(tblHistory[[#This Row],[Score]]&gt;=50),0)</f>
        <v/>
      </c>
      <c r="Y151" s="46">
        <f>IFERROR(--AND(tblHistory[[#This Row],[Score]]&gt;=60,OR(AND(tblHistory[[#This Row],[BIZD S]]&gt;=0.8,tblHistory[[#This Row],[BKLN S]]&gt;=0.5),tblHistory[[#This Row],[CCC S]]&gt;=0.8)),0)</f>
        <v/>
      </c>
      <c r="Z151" s="46">
        <f>IFERROR(--AND(tblHistory[[#This Row],[Score]]&gt;=70,tblHistory[[#This Row],[SOX S]]&gt;=0.83,tblHistory[[#This Row],[AIQ S]]&gt;=0.8),0)</f>
        <v/>
      </c>
      <c r="AA15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2">
      <c r="A152" s="42" t="n">
        <v>46107</v>
      </c>
      <c r="B152" s="43" t="n">
        <v>23586.9902</v>
      </c>
      <c r="C152" s="43" t="n">
        <v>7585.8701</v>
      </c>
      <c r="D152" s="43" t="n">
        <v>46.41</v>
      </c>
      <c r="E152" s="43" t="n">
        <v>23.5138</v>
      </c>
      <c r="F152" s="44" t="n">
        <v>111</v>
      </c>
      <c r="G152" s="44" t="n">
        <v>984</v>
      </c>
      <c r="H152" s="43" t="n">
        <v>11.5298</v>
      </c>
      <c r="I152" s="43" t="n">
        <v>19.7348</v>
      </c>
      <c r="J152" s="44" t="n">
        <v>321</v>
      </c>
      <c r="K15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2" s="46">
        <f>(Dashboard!$C$13*tblHistory[[#This Row],[NDX S]]+Dashboard!$C$14*tblHistory[[#This Row],[SOX S]]+Dashboard!$C$15*tblHistory[[#This Row],[AIQ S]])/(Dashboard!$C$13+Dashboard!$C$14+Dashboard!$C$15)*100</f>
        <v/>
      </c>
      <c r="U152" s="46">
        <f>(Dashboard!$C$16*tblHistory[[#This Row],[DTCR S]]+Dashboard!$C$17*tblHistory[[#This Row],[BBB S]]+Dashboard!$C$18*tblHistory[[#This Row],[CCC S]])/(Dashboard!$C$16+Dashboard!$C$17+Dashboard!$C$18)*100</f>
        <v/>
      </c>
      <c r="V152" s="46">
        <f>(Dashboard!$C$19*tblHistory[[#This Row],[BIZD S]]+Dashboard!$C$20*tblHistory[[#This Row],[BKLN S]]+Dashboard!$C$21*tblHistory[[#This Row],[HY S]])/(Dashboard!$C$19+Dashboard!$C$20+Dashboard!$C$21)*100</f>
        <v/>
      </c>
      <c r="W15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2" s="46">
        <f>IFERROR(--(tblHistory[[#This Row],[Score]]&gt;=50),0)</f>
        <v/>
      </c>
      <c r="Y152" s="46">
        <f>IFERROR(--AND(tblHistory[[#This Row],[Score]]&gt;=60,OR(AND(tblHistory[[#This Row],[BIZD S]]&gt;=0.8,tblHistory[[#This Row],[BKLN S]]&gt;=0.5),tblHistory[[#This Row],[CCC S]]&gt;=0.8)),0)</f>
        <v/>
      </c>
      <c r="Z152" s="46">
        <f>IFERROR(--AND(tblHistory[[#This Row],[Score]]&gt;=70,tblHistory[[#This Row],[SOX S]]&gt;=0.83,tblHistory[[#This Row],[AIQ S]]&gt;=0.8),0)</f>
        <v/>
      </c>
      <c r="AA15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3">
      <c r="A153" s="42" t="n">
        <v>46106</v>
      </c>
      <c r="B153" s="43" t="n">
        <v>24162.9805</v>
      </c>
      <c r="C153" s="43" t="n">
        <v>7967.75</v>
      </c>
      <c r="D153" s="43" t="n">
        <v>47.9</v>
      </c>
      <c r="E153" s="43" t="n">
        <v>24.0917</v>
      </c>
      <c r="F153" s="44" t="n">
        <v>109</v>
      </c>
      <c r="G153" s="44" t="n">
        <v>974</v>
      </c>
      <c r="H153" s="43" t="n">
        <v>11.6849</v>
      </c>
      <c r="I153" s="43" t="n">
        <v>19.7541</v>
      </c>
      <c r="J153" s="44" t="n">
        <v>317</v>
      </c>
      <c r="K15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3" s="46">
        <f>(Dashboard!$C$13*tblHistory[[#This Row],[NDX S]]+Dashboard!$C$14*tblHistory[[#This Row],[SOX S]]+Dashboard!$C$15*tblHistory[[#This Row],[AIQ S]])/(Dashboard!$C$13+Dashboard!$C$14+Dashboard!$C$15)*100</f>
        <v/>
      </c>
      <c r="U153" s="46">
        <f>(Dashboard!$C$16*tblHistory[[#This Row],[DTCR S]]+Dashboard!$C$17*tblHistory[[#This Row],[BBB S]]+Dashboard!$C$18*tblHistory[[#This Row],[CCC S]])/(Dashboard!$C$16+Dashboard!$C$17+Dashboard!$C$18)*100</f>
        <v/>
      </c>
      <c r="V153" s="46">
        <f>(Dashboard!$C$19*tblHistory[[#This Row],[BIZD S]]+Dashboard!$C$20*tblHistory[[#This Row],[BKLN S]]+Dashboard!$C$21*tblHistory[[#This Row],[HY S]])/(Dashboard!$C$19+Dashboard!$C$20+Dashboard!$C$21)*100</f>
        <v/>
      </c>
      <c r="W15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3" s="46">
        <f>IFERROR(--(tblHistory[[#This Row],[Score]]&gt;=50),0)</f>
        <v/>
      </c>
      <c r="Y153" s="46">
        <f>IFERROR(--AND(tblHistory[[#This Row],[Score]]&gt;=60,OR(AND(tblHistory[[#This Row],[BIZD S]]&gt;=0.8,tblHistory[[#This Row],[BKLN S]]&gt;=0.5),tblHistory[[#This Row],[CCC S]]&gt;=0.8)),0)</f>
        <v/>
      </c>
      <c r="Z153" s="46">
        <f>IFERROR(--AND(tblHistory[[#This Row],[Score]]&gt;=70,tblHistory[[#This Row],[SOX S]]&gt;=0.83,tblHistory[[#This Row],[AIQ S]]&gt;=0.8),0)</f>
        <v/>
      </c>
      <c r="AA15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4">
      <c r="A154" s="42" t="n">
        <v>46105</v>
      </c>
      <c r="B154" s="43" t="n">
        <v>24002.4492</v>
      </c>
      <c r="C154" s="43" t="n">
        <v>7872.71</v>
      </c>
      <c r="D154" s="43" t="n">
        <v>47.61</v>
      </c>
      <c r="E154" s="43" t="n">
        <v>23.8725</v>
      </c>
      <c r="F154" s="44" t="n">
        <v>109</v>
      </c>
      <c r="G154" s="44" t="n">
        <v>977</v>
      </c>
      <c r="H154" s="43" t="n">
        <v>11.5754</v>
      </c>
      <c r="I154" s="43" t="n">
        <v>19.7059</v>
      </c>
      <c r="J154" s="44" t="n">
        <v>319</v>
      </c>
      <c r="K15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4" s="46">
        <f>(Dashboard!$C$13*tblHistory[[#This Row],[NDX S]]+Dashboard!$C$14*tblHistory[[#This Row],[SOX S]]+Dashboard!$C$15*tblHistory[[#This Row],[AIQ S]])/(Dashboard!$C$13+Dashboard!$C$14+Dashboard!$C$15)*100</f>
        <v/>
      </c>
      <c r="U154" s="46">
        <f>(Dashboard!$C$16*tblHistory[[#This Row],[DTCR S]]+Dashboard!$C$17*tblHistory[[#This Row],[BBB S]]+Dashboard!$C$18*tblHistory[[#This Row],[CCC S]])/(Dashboard!$C$16+Dashboard!$C$17+Dashboard!$C$18)*100</f>
        <v/>
      </c>
      <c r="V154" s="46">
        <f>(Dashboard!$C$19*tblHistory[[#This Row],[BIZD S]]+Dashboard!$C$20*tblHistory[[#This Row],[BKLN S]]+Dashboard!$C$21*tblHistory[[#This Row],[HY S]])/(Dashboard!$C$19+Dashboard!$C$20+Dashboard!$C$21)*100</f>
        <v/>
      </c>
      <c r="W15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4" s="46">
        <f>IFERROR(--(tblHistory[[#This Row],[Score]]&gt;=50),0)</f>
        <v/>
      </c>
      <c r="Y154" s="46">
        <f>IFERROR(--AND(tblHistory[[#This Row],[Score]]&gt;=60,OR(AND(tblHistory[[#This Row],[BIZD S]]&gt;=0.8,tblHistory[[#This Row],[BKLN S]]&gt;=0.5),tblHistory[[#This Row],[CCC S]]&gt;=0.8)),0)</f>
        <v/>
      </c>
      <c r="Z154" s="46">
        <f>IFERROR(--AND(tblHistory[[#This Row],[Score]]&gt;=70,tblHistory[[#This Row],[SOX S]]&gt;=0.83,tblHistory[[#This Row],[AIQ S]]&gt;=0.8),0)</f>
        <v/>
      </c>
      <c r="AA15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5">
      <c r="A155" s="42" t="n">
        <v>46104</v>
      </c>
      <c r="B155" s="43" t="n">
        <v>24188.5898</v>
      </c>
      <c r="C155" s="43" t="n">
        <v>7773.1299</v>
      </c>
      <c r="D155" s="43" t="n">
        <v>48.52</v>
      </c>
      <c r="E155" s="43" t="n">
        <v>24.1814</v>
      </c>
      <c r="F155" s="44" t="n">
        <v>111</v>
      </c>
      <c r="G155" s="44" t="n">
        <v>975</v>
      </c>
      <c r="H155" s="43" t="n">
        <v>11.7852</v>
      </c>
      <c r="I155" s="43" t="n">
        <v>19.7252</v>
      </c>
      <c r="J155" s="44" t="n">
        <v>319</v>
      </c>
      <c r="K15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5" s="46">
        <f>(Dashboard!$C$13*tblHistory[[#This Row],[NDX S]]+Dashboard!$C$14*tblHistory[[#This Row],[SOX S]]+Dashboard!$C$15*tblHistory[[#This Row],[AIQ S]])/(Dashboard!$C$13+Dashboard!$C$14+Dashboard!$C$15)*100</f>
        <v/>
      </c>
      <c r="U155" s="46">
        <f>(Dashboard!$C$16*tblHistory[[#This Row],[DTCR S]]+Dashboard!$C$17*tblHistory[[#This Row],[BBB S]]+Dashboard!$C$18*tblHistory[[#This Row],[CCC S]])/(Dashboard!$C$16+Dashboard!$C$17+Dashboard!$C$18)*100</f>
        <v/>
      </c>
      <c r="V155" s="46">
        <f>(Dashboard!$C$19*tblHistory[[#This Row],[BIZD S]]+Dashboard!$C$20*tblHistory[[#This Row],[BKLN S]]+Dashboard!$C$21*tblHistory[[#This Row],[HY S]])/(Dashboard!$C$19+Dashboard!$C$20+Dashboard!$C$21)*100</f>
        <v/>
      </c>
      <c r="W15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5" s="46">
        <f>IFERROR(--(tblHistory[[#This Row],[Score]]&gt;=50),0)</f>
        <v/>
      </c>
      <c r="Y155" s="46">
        <f>IFERROR(--AND(tblHistory[[#This Row],[Score]]&gt;=60,OR(AND(tblHistory[[#This Row],[BIZD S]]&gt;=0.8,tblHistory[[#This Row],[BKLN S]]&gt;=0.5),tblHistory[[#This Row],[CCC S]]&gt;=0.8)),0)</f>
        <v/>
      </c>
      <c r="Z155" s="46">
        <f>IFERROR(--AND(tblHistory[[#This Row],[Score]]&gt;=70,tblHistory[[#This Row],[SOX S]]&gt;=0.83,tblHistory[[#This Row],[AIQ S]]&gt;=0.8),0)</f>
        <v/>
      </c>
      <c r="AA15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6">
      <c r="A156" s="42" t="n">
        <v>46101</v>
      </c>
      <c r="B156" s="43" t="n">
        <v>23898.1504</v>
      </c>
      <c r="C156" s="43" t="n">
        <v>7670.6099</v>
      </c>
      <c r="D156" s="43" t="n">
        <v>47.37</v>
      </c>
      <c r="E156" s="43" t="n">
        <v>23.9124</v>
      </c>
      <c r="F156" s="44" t="n">
        <v>111</v>
      </c>
      <c r="G156" s="44" t="n">
        <v>979</v>
      </c>
      <c r="H156" s="43" t="n">
        <v>11.5845</v>
      </c>
      <c r="I156" s="43" t="n">
        <v>19.6327</v>
      </c>
      <c r="J156" s="44" t="n">
        <v>324</v>
      </c>
      <c r="K15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6" s="46">
        <f>(Dashboard!$C$13*tblHistory[[#This Row],[NDX S]]+Dashboard!$C$14*tblHistory[[#This Row],[SOX S]]+Dashboard!$C$15*tblHistory[[#This Row],[AIQ S]])/(Dashboard!$C$13+Dashboard!$C$14+Dashboard!$C$15)*100</f>
        <v/>
      </c>
      <c r="U156" s="46">
        <f>(Dashboard!$C$16*tblHistory[[#This Row],[DTCR S]]+Dashboard!$C$17*tblHistory[[#This Row],[BBB S]]+Dashboard!$C$18*tblHistory[[#This Row],[CCC S]])/(Dashboard!$C$16+Dashboard!$C$17+Dashboard!$C$18)*100</f>
        <v/>
      </c>
      <c r="V156" s="46">
        <f>(Dashboard!$C$19*tblHistory[[#This Row],[BIZD S]]+Dashboard!$C$20*tblHistory[[#This Row],[BKLN S]]+Dashboard!$C$21*tblHistory[[#This Row],[HY S]])/(Dashboard!$C$19+Dashboard!$C$20+Dashboard!$C$21)*100</f>
        <v/>
      </c>
      <c r="W15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6" s="46">
        <f>IFERROR(--(tblHistory[[#This Row],[Score]]&gt;=50),0)</f>
        <v/>
      </c>
      <c r="Y156" s="46">
        <f>IFERROR(--AND(tblHistory[[#This Row],[Score]]&gt;=60,OR(AND(tblHistory[[#This Row],[BIZD S]]&gt;=0.8,tblHistory[[#This Row],[BKLN S]]&gt;=0.5),tblHistory[[#This Row],[CCC S]]&gt;=0.8)),0)</f>
        <v/>
      </c>
      <c r="Z156" s="46">
        <f>IFERROR(--AND(tblHistory[[#This Row],[Score]]&gt;=70,tblHistory[[#This Row],[SOX S]]&gt;=0.83,tblHistory[[#This Row],[AIQ S]]&gt;=0.8),0)</f>
        <v/>
      </c>
      <c r="AA15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7">
      <c r="A157" s="42" t="n">
        <v>46100</v>
      </c>
      <c r="B157" s="43" t="n">
        <v>24355.2793</v>
      </c>
      <c r="C157" s="43" t="n">
        <v>7863.2998</v>
      </c>
      <c r="D157" s="43" t="n">
        <v>48.8</v>
      </c>
      <c r="E157" s="43" t="n">
        <v>24.9785</v>
      </c>
      <c r="F157" s="44" t="n">
        <v>113</v>
      </c>
      <c r="G157" s="44" t="n">
        <v>976</v>
      </c>
      <c r="H157" s="43" t="n">
        <v>11.8034</v>
      </c>
      <c r="I157" s="43" t="n">
        <v>19.6806</v>
      </c>
      <c r="J157" s="44" t="n">
        <v>327</v>
      </c>
      <c r="K15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7" s="46">
        <f>(Dashboard!$C$13*tblHistory[[#This Row],[NDX S]]+Dashboard!$C$14*tblHistory[[#This Row],[SOX S]]+Dashboard!$C$15*tblHistory[[#This Row],[AIQ S]])/(Dashboard!$C$13+Dashboard!$C$14+Dashboard!$C$15)*100</f>
        <v/>
      </c>
      <c r="U157" s="46">
        <f>(Dashboard!$C$16*tblHistory[[#This Row],[DTCR S]]+Dashboard!$C$17*tblHistory[[#This Row],[BBB S]]+Dashboard!$C$18*tblHistory[[#This Row],[CCC S]])/(Dashboard!$C$16+Dashboard!$C$17+Dashboard!$C$18)*100</f>
        <v/>
      </c>
      <c r="V157" s="46">
        <f>(Dashboard!$C$19*tblHistory[[#This Row],[BIZD S]]+Dashboard!$C$20*tblHistory[[#This Row],[BKLN S]]+Dashboard!$C$21*tblHistory[[#This Row],[HY S]])/(Dashboard!$C$19+Dashboard!$C$20+Dashboard!$C$21)*100</f>
        <v/>
      </c>
      <c r="W15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7" s="46">
        <f>IFERROR(--(tblHistory[[#This Row],[Score]]&gt;=50),0)</f>
        <v/>
      </c>
      <c r="Y157" s="46">
        <f>IFERROR(--AND(tblHistory[[#This Row],[Score]]&gt;=60,OR(AND(tblHistory[[#This Row],[BIZD S]]&gt;=0.8,tblHistory[[#This Row],[BKLN S]]&gt;=0.5),tblHistory[[#This Row],[CCC S]]&gt;=0.8)),0)</f>
        <v/>
      </c>
      <c r="Z157" s="46">
        <f>IFERROR(--AND(tblHistory[[#This Row],[Score]]&gt;=70,tblHistory[[#This Row],[SOX S]]&gt;=0.83,tblHistory[[#This Row],[AIQ S]]&gt;=0.8),0)</f>
        <v/>
      </c>
      <c r="AA15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8">
      <c r="A158" s="42" t="n">
        <v>46099</v>
      </c>
      <c r="B158" s="43" t="n">
        <v>24425.0898</v>
      </c>
      <c r="C158" s="43" t="n">
        <v>7795.1299</v>
      </c>
      <c r="D158" s="43" t="n">
        <v>48.87</v>
      </c>
      <c r="E158" s="43" t="n">
        <v>24.8788</v>
      </c>
      <c r="F158" s="44" t="n">
        <v>113</v>
      </c>
      <c r="G158" s="44" t="n">
        <v>964</v>
      </c>
      <c r="H158" s="43" t="n">
        <v>11.7669</v>
      </c>
      <c r="I158" s="43" t="n">
        <v>19.671</v>
      </c>
      <c r="J158" s="44" t="n">
        <v>320</v>
      </c>
      <c r="K15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8" s="46">
        <f>(Dashboard!$C$13*tblHistory[[#This Row],[NDX S]]+Dashboard!$C$14*tblHistory[[#This Row],[SOX S]]+Dashboard!$C$15*tblHistory[[#This Row],[AIQ S]])/(Dashboard!$C$13+Dashboard!$C$14+Dashboard!$C$15)*100</f>
        <v/>
      </c>
      <c r="U158" s="46">
        <f>(Dashboard!$C$16*tblHistory[[#This Row],[DTCR S]]+Dashboard!$C$17*tblHistory[[#This Row],[BBB S]]+Dashboard!$C$18*tblHistory[[#This Row],[CCC S]])/(Dashboard!$C$16+Dashboard!$C$17+Dashboard!$C$18)*100</f>
        <v/>
      </c>
      <c r="V158" s="46">
        <f>(Dashboard!$C$19*tblHistory[[#This Row],[BIZD S]]+Dashboard!$C$20*tblHistory[[#This Row],[BKLN S]]+Dashboard!$C$21*tblHistory[[#This Row],[HY S]])/(Dashboard!$C$19+Dashboard!$C$20+Dashboard!$C$21)*100</f>
        <v/>
      </c>
      <c r="W15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8" s="46">
        <f>IFERROR(--(tblHistory[[#This Row],[Score]]&gt;=50),0)</f>
        <v/>
      </c>
      <c r="Y158" s="46">
        <f>IFERROR(--AND(tblHistory[[#This Row],[Score]]&gt;=60,OR(AND(tblHistory[[#This Row],[BIZD S]]&gt;=0.8,tblHistory[[#This Row],[BKLN S]]&gt;=0.5),tblHistory[[#This Row],[CCC S]]&gt;=0.8)),0)</f>
        <v/>
      </c>
      <c r="Z158" s="46">
        <f>IFERROR(--AND(tblHistory[[#This Row],[Score]]&gt;=70,tblHistory[[#This Row],[SOX S]]&gt;=0.83,tblHistory[[#This Row],[AIQ S]]&gt;=0.8),0)</f>
        <v/>
      </c>
      <c r="AA15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59">
      <c r="A159" s="42" t="n">
        <v>46098</v>
      </c>
      <c r="B159" s="43" t="n">
        <v>24780.4199</v>
      </c>
      <c r="C159" s="43" t="n">
        <v>7836.8301</v>
      </c>
      <c r="D159" s="43" t="n">
        <v>49.58</v>
      </c>
      <c r="E159" s="43" t="n">
        <v>25.1578</v>
      </c>
      <c r="F159" s="44" t="n">
        <v>114</v>
      </c>
      <c r="G159" s="44" t="n">
        <v>963</v>
      </c>
      <c r="H159" s="43" t="n">
        <v>11.8126</v>
      </c>
      <c r="I159" s="43" t="n">
        <v>19.6806</v>
      </c>
      <c r="J159" s="44" t="n">
        <v>322</v>
      </c>
      <c r="K15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5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5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5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5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5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5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5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5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59" s="46">
        <f>(Dashboard!$C$13*tblHistory[[#This Row],[NDX S]]+Dashboard!$C$14*tblHistory[[#This Row],[SOX S]]+Dashboard!$C$15*tblHistory[[#This Row],[AIQ S]])/(Dashboard!$C$13+Dashboard!$C$14+Dashboard!$C$15)*100</f>
        <v/>
      </c>
      <c r="U159" s="46">
        <f>(Dashboard!$C$16*tblHistory[[#This Row],[DTCR S]]+Dashboard!$C$17*tblHistory[[#This Row],[BBB S]]+Dashboard!$C$18*tblHistory[[#This Row],[CCC S]])/(Dashboard!$C$16+Dashboard!$C$17+Dashboard!$C$18)*100</f>
        <v/>
      </c>
      <c r="V159" s="46">
        <f>(Dashboard!$C$19*tblHistory[[#This Row],[BIZD S]]+Dashboard!$C$20*tblHistory[[#This Row],[BKLN S]]+Dashboard!$C$21*tblHistory[[#This Row],[HY S]])/(Dashboard!$C$19+Dashboard!$C$20+Dashboard!$C$21)*100</f>
        <v/>
      </c>
      <c r="W15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59" s="46">
        <f>IFERROR(--(tblHistory[[#This Row],[Score]]&gt;=50),0)</f>
        <v/>
      </c>
      <c r="Y159" s="46">
        <f>IFERROR(--AND(tblHistory[[#This Row],[Score]]&gt;=60,OR(AND(tblHistory[[#This Row],[BIZD S]]&gt;=0.8,tblHistory[[#This Row],[BKLN S]]&gt;=0.5),tblHistory[[#This Row],[CCC S]]&gt;=0.8)),0)</f>
        <v/>
      </c>
      <c r="Z159" s="46">
        <f>IFERROR(--AND(tblHistory[[#This Row],[Score]]&gt;=70,tblHistory[[#This Row],[SOX S]]&gt;=0.83,tblHistory[[#This Row],[AIQ S]]&gt;=0.8),0)</f>
        <v/>
      </c>
      <c r="AA15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5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5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5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5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0">
      <c r="A160" s="42" t="n">
        <v>46097</v>
      </c>
      <c r="B160" s="43" t="n">
        <v>24655.3398</v>
      </c>
      <c r="C160" s="43" t="n">
        <v>7796.2402</v>
      </c>
      <c r="D160" s="43" t="n">
        <v>49.34</v>
      </c>
      <c r="E160" s="43" t="n">
        <v>25.1578</v>
      </c>
      <c r="F160" s="44" t="n">
        <v>116</v>
      </c>
      <c r="G160" s="44" t="n">
        <v>973</v>
      </c>
      <c r="H160" s="43" t="n">
        <v>11.4386</v>
      </c>
      <c r="I160" s="43" t="n">
        <v>19.6135</v>
      </c>
      <c r="J160" s="44" t="n">
        <v>327</v>
      </c>
      <c r="K16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0" s="46">
        <f>(Dashboard!$C$13*tblHistory[[#This Row],[NDX S]]+Dashboard!$C$14*tblHistory[[#This Row],[SOX S]]+Dashboard!$C$15*tblHistory[[#This Row],[AIQ S]])/(Dashboard!$C$13+Dashboard!$C$14+Dashboard!$C$15)*100</f>
        <v/>
      </c>
      <c r="U160" s="46">
        <f>(Dashboard!$C$16*tblHistory[[#This Row],[DTCR S]]+Dashboard!$C$17*tblHistory[[#This Row],[BBB S]]+Dashboard!$C$18*tblHistory[[#This Row],[CCC S]])/(Dashboard!$C$16+Dashboard!$C$17+Dashboard!$C$18)*100</f>
        <v/>
      </c>
      <c r="V160" s="46">
        <f>(Dashboard!$C$19*tblHistory[[#This Row],[BIZD S]]+Dashboard!$C$20*tblHistory[[#This Row],[BKLN S]]+Dashboard!$C$21*tblHistory[[#This Row],[HY S]])/(Dashboard!$C$19+Dashboard!$C$20+Dashboard!$C$21)*100</f>
        <v/>
      </c>
      <c r="W16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0" s="46">
        <f>IFERROR(--(tblHistory[[#This Row],[Score]]&gt;=50),0)</f>
        <v/>
      </c>
      <c r="Y160" s="46">
        <f>IFERROR(--AND(tblHistory[[#This Row],[Score]]&gt;=60,OR(AND(tblHistory[[#This Row],[BIZD S]]&gt;=0.8,tblHistory[[#This Row],[BKLN S]]&gt;=0.5),tblHistory[[#This Row],[CCC S]]&gt;=0.8)),0)</f>
        <v/>
      </c>
      <c r="Z160" s="46">
        <f>IFERROR(--AND(tblHistory[[#This Row],[Score]]&gt;=70,tblHistory[[#This Row],[SOX S]]&gt;=0.83,tblHistory[[#This Row],[AIQ S]]&gt;=0.8),0)</f>
        <v/>
      </c>
      <c r="AA16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1">
      <c r="A161" s="42" t="n">
        <v>46094</v>
      </c>
      <c r="B161" s="43" t="n">
        <v>24380.7305</v>
      </c>
      <c r="C161" s="43" t="n">
        <v>7646.6401</v>
      </c>
      <c r="D161" s="43" t="n">
        <v>48.35</v>
      </c>
      <c r="E161" s="43" t="n">
        <v>24.9087</v>
      </c>
      <c r="F161" s="44" t="n">
        <v>115</v>
      </c>
      <c r="G161" s="44" t="n">
        <v>978</v>
      </c>
      <c r="H161" s="43" t="n">
        <v>11.3838</v>
      </c>
      <c r="I161" s="43" t="n">
        <v>19.6039</v>
      </c>
      <c r="J161" s="44" t="n">
        <v>328</v>
      </c>
      <c r="K16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1" s="46">
        <f>(Dashboard!$C$13*tblHistory[[#This Row],[NDX S]]+Dashboard!$C$14*tblHistory[[#This Row],[SOX S]]+Dashboard!$C$15*tblHistory[[#This Row],[AIQ S]])/(Dashboard!$C$13+Dashboard!$C$14+Dashboard!$C$15)*100</f>
        <v/>
      </c>
      <c r="U161" s="46">
        <f>(Dashboard!$C$16*tblHistory[[#This Row],[DTCR S]]+Dashboard!$C$17*tblHistory[[#This Row],[BBB S]]+Dashboard!$C$18*tblHistory[[#This Row],[CCC S]])/(Dashboard!$C$16+Dashboard!$C$17+Dashboard!$C$18)*100</f>
        <v/>
      </c>
      <c r="V161" s="46">
        <f>(Dashboard!$C$19*tblHistory[[#This Row],[BIZD S]]+Dashboard!$C$20*tblHistory[[#This Row],[BKLN S]]+Dashboard!$C$21*tblHistory[[#This Row],[HY S]])/(Dashboard!$C$19+Dashboard!$C$20+Dashboard!$C$21)*100</f>
        <v/>
      </c>
      <c r="W16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1" s="46">
        <f>IFERROR(--(tblHistory[[#This Row],[Score]]&gt;=50),0)</f>
        <v/>
      </c>
      <c r="Y161" s="46">
        <f>IFERROR(--AND(tblHistory[[#This Row],[Score]]&gt;=60,OR(AND(tblHistory[[#This Row],[BIZD S]]&gt;=0.8,tblHistory[[#This Row],[BKLN S]]&gt;=0.5),tblHistory[[#This Row],[CCC S]]&gt;=0.8)),0)</f>
        <v/>
      </c>
      <c r="Z161" s="46">
        <f>IFERROR(--AND(tblHistory[[#This Row],[Score]]&gt;=70,tblHistory[[#This Row],[SOX S]]&gt;=0.83,tblHistory[[#This Row],[AIQ S]]&gt;=0.8),0)</f>
        <v/>
      </c>
      <c r="AA16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2">
      <c r="A162" s="42" t="n">
        <v>46093</v>
      </c>
      <c r="B162" s="43" t="n">
        <v>24533.5801</v>
      </c>
      <c r="C162" s="43" t="n">
        <v>7643.1699</v>
      </c>
      <c r="D162" s="43" t="n">
        <v>48.59</v>
      </c>
      <c r="E162" s="43" t="n">
        <v>24.7892</v>
      </c>
      <c r="F162" s="44" t="n">
        <v>112</v>
      </c>
      <c r="G162" s="44" t="n">
        <v>961</v>
      </c>
      <c r="H162" s="43" t="n">
        <v>11.4112</v>
      </c>
      <c r="I162" s="43" t="n">
        <v>19.6423</v>
      </c>
      <c r="J162" s="44" t="n">
        <v>317</v>
      </c>
      <c r="K16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2" s="46">
        <f>(Dashboard!$C$13*tblHistory[[#This Row],[NDX S]]+Dashboard!$C$14*tblHistory[[#This Row],[SOX S]]+Dashboard!$C$15*tblHistory[[#This Row],[AIQ S]])/(Dashboard!$C$13+Dashboard!$C$14+Dashboard!$C$15)*100</f>
        <v/>
      </c>
      <c r="U162" s="46">
        <f>(Dashboard!$C$16*tblHistory[[#This Row],[DTCR S]]+Dashboard!$C$17*tblHistory[[#This Row],[BBB S]]+Dashboard!$C$18*tblHistory[[#This Row],[CCC S]])/(Dashboard!$C$16+Dashboard!$C$17+Dashboard!$C$18)*100</f>
        <v/>
      </c>
      <c r="V162" s="46">
        <f>(Dashboard!$C$19*tblHistory[[#This Row],[BIZD S]]+Dashboard!$C$20*tblHistory[[#This Row],[BKLN S]]+Dashboard!$C$21*tblHistory[[#This Row],[HY S]])/(Dashboard!$C$19+Dashboard!$C$20+Dashboard!$C$21)*100</f>
        <v/>
      </c>
      <c r="W16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2" s="46">
        <f>IFERROR(--(tblHistory[[#This Row],[Score]]&gt;=50),0)</f>
        <v/>
      </c>
      <c r="Y162" s="46">
        <f>IFERROR(--AND(tblHistory[[#This Row],[Score]]&gt;=60,OR(AND(tblHistory[[#This Row],[BIZD S]]&gt;=0.8,tblHistory[[#This Row],[BKLN S]]&gt;=0.5),tblHistory[[#This Row],[CCC S]]&gt;=0.8)),0)</f>
        <v/>
      </c>
      <c r="Z162" s="46">
        <f>IFERROR(--AND(tblHistory[[#This Row],[Score]]&gt;=70,tblHistory[[#This Row],[SOX S]]&gt;=0.83,tblHistory[[#This Row],[AIQ S]]&gt;=0.8),0)</f>
        <v/>
      </c>
      <c r="AA16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3">
      <c r="A163" s="42" t="n">
        <v>46092</v>
      </c>
      <c r="B163" s="43" t="n">
        <v>24965.0098</v>
      </c>
      <c r="C163" s="43" t="n">
        <v>7914.5698</v>
      </c>
      <c r="D163" s="43" t="n">
        <v>49.92</v>
      </c>
      <c r="E163" s="43" t="n">
        <v>25.3272</v>
      </c>
      <c r="F163" s="44" t="n">
        <v>109</v>
      </c>
      <c r="G163" s="44" t="n">
        <v>945</v>
      </c>
      <c r="H163" s="43" t="n">
        <v>11.5845</v>
      </c>
      <c r="I163" s="43" t="n">
        <v>19.6806</v>
      </c>
      <c r="J163" s="44" t="n">
        <v>309</v>
      </c>
      <c r="K16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3" s="46">
        <f>(Dashboard!$C$13*tblHistory[[#This Row],[NDX S]]+Dashboard!$C$14*tblHistory[[#This Row],[SOX S]]+Dashboard!$C$15*tblHistory[[#This Row],[AIQ S]])/(Dashboard!$C$13+Dashboard!$C$14+Dashboard!$C$15)*100</f>
        <v/>
      </c>
      <c r="U163" s="46">
        <f>(Dashboard!$C$16*tblHistory[[#This Row],[DTCR S]]+Dashboard!$C$17*tblHistory[[#This Row],[BBB S]]+Dashboard!$C$18*tblHistory[[#This Row],[CCC S]])/(Dashboard!$C$16+Dashboard!$C$17+Dashboard!$C$18)*100</f>
        <v/>
      </c>
      <c r="V163" s="46">
        <f>(Dashboard!$C$19*tblHistory[[#This Row],[BIZD S]]+Dashboard!$C$20*tblHistory[[#This Row],[BKLN S]]+Dashboard!$C$21*tblHistory[[#This Row],[HY S]])/(Dashboard!$C$19+Dashboard!$C$20+Dashboard!$C$21)*100</f>
        <v/>
      </c>
      <c r="W16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3" s="46">
        <f>IFERROR(--(tblHistory[[#This Row],[Score]]&gt;=50),0)</f>
        <v/>
      </c>
      <c r="Y163" s="46">
        <f>IFERROR(--AND(tblHistory[[#This Row],[Score]]&gt;=60,OR(AND(tblHistory[[#This Row],[BIZD S]]&gt;=0.8,tblHistory[[#This Row],[BKLN S]]&gt;=0.5),tblHistory[[#This Row],[CCC S]]&gt;=0.8)),0)</f>
        <v/>
      </c>
      <c r="Z163" s="46">
        <f>IFERROR(--AND(tblHistory[[#This Row],[Score]]&gt;=70,tblHistory[[#This Row],[SOX S]]&gt;=0.83,tblHistory[[#This Row],[AIQ S]]&gt;=0.8),0)</f>
        <v/>
      </c>
      <c r="AA16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4">
      <c r="A164" s="42" t="n">
        <v>46091</v>
      </c>
      <c r="B164" s="43" t="n">
        <v>24956.4707</v>
      </c>
      <c r="C164" s="43" t="n">
        <v>7865.1201</v>
      </c>
      <c r="D164" s="43" t="n">
        <v>49.67</v>
      </c>
      <c r="E164" s="43" t="n">
        <v>25.2575</v>
      </c>
      <c r="F164" s="44" t="n">
        <v>106</v>
      </c>
      <c r="G164" s="44" t="n">
        <v>945</v>
      </c>
      <c r="H164" s="43" t="n">
        <v>11.6575</v>
      </c>
      <c r="I164" s="43" t="n">
        <v>19.6518</v>
      </c>
      <c r="J164" s="44" t="n">
        <v>306</v>
      </c>
      <c r="K16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4" s="46">
        <f>(Dashboard!$C$13*tblHistory[[#This Row],[NDX S]]+Dashboard!$C$14*tblHistory[[#This Row],[SOX S]]+Dashboard!$C$15*tblHistory[[#This Row],[AIQ S]])/(Dashboard!$C$13+Dashboard!$C$14+Dashboard!$C$15)*100</f>
        <v/>
      </c>
      <c r="U164" s="46">
        <f>(Dashboard!$C$16*tblHistory[[#This Row],[DTCR S]]+Dashboard!$C$17*tblHistory[[#This Row],[BBB S]]+Dashboard!$C$18*tblHistory[[#This Row],[CCC S]])/(Dashboard!$C$16+Dashboard!$C$17+Dashboard!$C$18)*100</f>
        <v/>
      </c>
      <c r="V164" s="46">
        <f>(Dashboard!$C$19*tblHistory[[#This Row],[BIZD S]]+Dashboard!$C$20*tblHistory[[#This Row],[BKLN S]]+Dashboard!$C$21*tblHistory[[#This Row],[HY S]])/(Dashboard!$C$19+Dashboard!$C$20+Dashboard!$C$21)*100</f>
        <v/>
      </c>
      <c r="W16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4" s="46">
        <f>IFERROR(--(tblHistory[[#This Row],[Score]]&gt;=50),0)</f>
        <v/>
      </c>
      <c r="Y164" s="46">
        <f>IFERROR(--AND(tblHistory[[#This Row],[Score]]&gt;=60,OR(AND(tblHistory[[#This Row],[BIZD S]]&gt;=0.8,tblHistory[[#This Row],[BKLN S]]&gt;=0.5),tblHistory[[#This Row],[CCC S]]&gt;=0.8)),0)</f>
        <v/>
      </c>
      <c r="Z164" s="46">
        <f>IFERROR(--AND(tblHistory[[#This Row],[Score]]&gt;=70,tblHistory[[#This Row],[SOX S]]&gt;=0.83,tblHistory[[#This Row],[AIQ S]]&gt;=0.8),0)</f>
        <v/>
      </c>
      <c r="AA16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5">
      <c r="A165" s="42" t="n">
        <v>46090</v>
      </c>
      <c r="B165" s="43" t="n">
        <v>24967.25</v>
      </c>
      <c r="C165" s="43" t="n">
        <v>7810.3999</v>
      </c>
      <c r="D165" s="43" t="n">
        <v>49.83</v>
      </c>
      <c r="E165" s="43" t="n">
        <v>24.9884</v>
      </c>
      <c r="F165" s="44" t="n">
        <v>107</v>
      </c>
      <c r="G165" s="44" t="n">
        <v>969</v>
      </c>
      <c r="H165" s="43" t="n">
        <v>11.7487</v>
      </c>
      <c r="I165" s="43" t="n">
        <v>19.6518</v>
      </c>
      <c r="J165" s="44" t="n">
        <v>319</v>
      </c>
      <c r="K16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5" s="46">
        <f>(Dashboard!$C$13*tblHistory[[#This Row],[NDX S]]+Dashboard!$C$14*tblHistory[[#This Row],[SOX S]]+Dashboard!$C$15*tblHistory[[#This Row],[AIQ S]])/(Dashboard!$C$13+Dashboard!$C$14+Dashboard!$C$15)*100</f>
        <v/>
      </c>
      <c r="U165" s="46">
        <f>(Dashboard!$C$16*tblHistory[[#This Row],[DTCR S]]+Dashboard!$C$17*tblHistory[[#This Row],[BBB S]]+Dashboard!$C$18*tblHistory[[#This Row],[CCC S]])/(Dashboard!$C$16+Dashboard!$C$17+Dashboard!$C$18)*100</f>
        <v/>
      </c>
      <c r="V165" s="46">
        <f>(Dashboard!$C$19*tblHistory[[#This Row],[BIZD S]]+Dashboard!$C$20*tblHistory[[#This Row],[BKLN S]]+Dashboard!$C$21*tblHistory[[#This Row],[HY S]])/(Dashboard!$C$19+Dashboard!$C$20+Dashboard!$C$21)*100</f>
        <v/>
      </c>
      <c r="W16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5" s="46">
        <f>IFERROR(--(tblHistory[[#This Row],[Score]]&gt;=50),0)</f>
        <v/>
      </c>
      <c r="Y165" s="46">
        <f>IFERROR(--AND(tblHistory[[#This Row],[Score]]&gt;=60,OR(AND(tblHistory[[#This Row],[BIZD S]]&gt;=0.8,tblHistory[[#This Row],[BKLN S]]&gt;=0.5),tblHistory[[#This Row],[CCC S]]&gt;=0.8)),0)</f>
        <v/>
      </c>
      <c r="Z165" s="46">
        <f>IFERROR(--AND(tblHistory[[#This Row],[Score]]&gt;=70,tblHistory[[#This Row],[SOX S]]&gt;=0.83,tblHistory[[#This Row],[AIQ S]]&gt;=0.8),0)</f>
        <v/>
      </c>
      <c r="AA16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6">
      <c r="A166" s="42" t="n">
        <v>46087</v>
      </c>
      <c r="B166" s="43" t="n">
        <v>24643.0195</v>
      </c>
      <c r="C166" s="43" t="n">
        <v>7514.7402</v>
      </c>
      <c r="D166" s="43" t="n">
        <v>49.1</v>
      </c>
      <c r="E166" s="43" t="n">
        <v>24.6596</v>
      </c>
      <c r="F166" s="44" t="n">
        <v>106</v>
      </c>
      <c r="G166" s="44" t="n">
        <v>959</v>
      </c>
      <c r="H166" s="43" t="n">
        <v>11.7031</v>
      </c>
      <c r="I166" s="43" t="n">
        <v>19.5081</v>
      </c>
      <c r="J166" s="44" t="n">
        <v>313</v>
      </c>
      <c r="K16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6" s="46">
        <f>(Dashboard!$C$13*tblHistory[[#This Row],[NDX S]]+Dashboard!$C$14*tblHistory[[#This Row],[SOX S]]+Dashboard!$C$15*tblHistory[[#This Row],[AIQ S]])/(Dashboard!$C$13+Dashboard!$C$14+Dashboard!$C$15)*100</f>
        <v/>
      </c>
      <c r="U166" s="46">
        <f>(Dashboard!$C$16*tblHistory[[#This Row],[DTCR S]]+Dashboard!$C$17*tblHistory[[#This Row],[BBB S]]+Dashboard!$C$18*tblHistory[[#This Row],[CCC S]])/(Dashboard!$C$16+Dashboard!$C$17+Dashboard!$C$18)*100</f>
        <v/>
      </c>
      <c r="V166" s="46">
        <f>(Dashboard!$C$19*tblHistory[[#This Row],[BIZD S]]+Dashboard!$C$20*tblHistory[[#This Row],[BKLN S]]+Dashboard!$C$21*tblHistory[[#This Row],[HY S]])/(Dashboard!$C$19+Dashboard!$C$20+Dashboard!$C$21)*100</f>
        <v/>
      </c>
      <c r="W16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6" s="46">
        <f>IFERROR(--(tblHistory[[#This Row],[Score]]&gt;=50),0)</f>
        <v/>
      </c>
      <c r="Y166" s="46">
        <f>IFERROR(--AND(tblHistory[[#This Row],[Score]]&gt;=60,OR(AND(tblHistory[[#This Row],[BIZD S]]&gt;=0.8,tblHistory[[#This Row],[BKLN S]]&gt;=0.5),tblHistory[[#This Row],[CCC S]]&gt;=0.8)),0)</f>
        <v/>
      </c>
      <c r="Z166" s="46">
        <f>IFERROR(--AND(tblHistory[[#This Row],[Score]]&gt;=70,tblHistory[[#This Row],[SOX S]]&gt;=0.83,tblHistory[[#This Row],[AIQ S]]&gt;=0.8),0)</f>
        <v/>
      </c>
      <c r="AA16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7">
      <c r="A167" s="42" t="n">
        <v>46086</v>
      </c>
      <c r="B167" s="43" t="n">
        <v>25020.4102</v>
      </c>
      <c r="C167" s="43" t="n">
        <v>7821.7598</v>
      </c>
      <c r="D167" s="43" t="n">
        <v>49.65</v>
      </c>
      <c r="E167" s="43" t="n">
        <v>24.8988</v>
      </c>
      <c r="F167" s="44" t="n">
        <v>104</v>
      </c>
      <c r="G167" s="44" t="n">
        <v>944</v>
      </c>
      <c r="H167" s="43" t="n">
        <v>11.8582</v>
      </c>
      <c r="I167" s="43" t="n">
        <v>19.5944</v>
      </c>
      <c r="J167" s="44" t="n">
        <v>300</v>
      </c>
      <c r="K16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7" s="46">
        <f>(Dashboard!$C$13*tblHistory[[#This Row],[NDX S]]+Dashboard!$C$14*tblHistory[[#This Row],[SOX S]]+Dashboard!$C$15*tblHistory[[#This Row],[AIQ S]])/(Dashboard!$C$13+Dashboard!$C$14+Dashboard!$C$15)*100</f>
        <v/>
      </c>
      <c r="U167" s="46">
        <f>(Dashboard!$C$16*tblHistory[[#This Row],[DTCR S]]+Dashboard!$C$17*tblHistory[[#This Row],[BBB S]]+Dashboard!$C$18*tblHistory[[#This Row],[CCC S]])/(Dashboard!$C$16+Dashboard!$C$17+Dashboard!$C$18)*100</f>
        <v/>
      </c>
      <c r="V167" s="46">
        <f>(Dashboard!$C$19*tblHistory[[#This Row],[BIZD S]]+Dashboard!$C$20*tblHistory[[#This Row],[BKLN S]]+Dashboard!$C$21*tblHistory[[#This Row],[HY S]])/(Dashboard!$C$19+Dashboard!$C$20+Dashboard!$C$21)*100</f>
        <v/>
      </c>
      <c r="W16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7" s="46">
        <f>IFERROR(--(tblHistory[[#This Row],[Score]]&gt;=50),0)</f>
        <v/>
      </c>
      <c r="Y167" s="46">
        <f>IFERROR(--AND(tblHistory[[#This Row],[Score]]&gt;=60,OR(AND(tblHistory[[#This Row],[BIZD S]]&gt;=0.8,tblHistory[[#This Row],[BKLN S]]&gt;=0.5),tblHistory[[#This Row],[CCC S]]&gt;=0.8)),0)</f>
        <v/>
      </c>
      <c r="Z167" s="46">
        <f>IFERROR(--AND(tblHistory[[#This Row],[Score]]&gt;=70,tblHistory[[#This Row],[SOX S]]&gt;=0.83,tblHistory[[#This Row],[AIQ S]]&gt;=0.8),0)</f>
        <v/>
      </c>
      <c r="AA16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8">
      <c r="A168" s="42" t="n">
        <v>46085</v>
      </c>
      <c r="B168" s="43" t="n">
        <v>25093.6797</v>
      </c>
      <c r="C168" s="43" t="n">
        <v>7914.48</v>
      </c>
      <c r="D168" s="43" t="n">
        <v>49.92</v>
      </c>
      <c r="E168" s="43" t="n">
        <v>25.2575</v>
      </c>
      <c r="F168" s="44" t="n">
        <v>103</v>
      </c>
      <c r="G168" s="44" t="n">
        <v>942</v>
      </c>
      <c r="H168" s="43" t="n">
        <v>11.922</v>
      </c>
      <c r="I168" s="43" t="n">
        <v>19.5848</v>
      </c>
      <c r="J168" s="44" t="n">
        <v>297</v>
      </c>
      <c r="K16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8" s="46">
        <f>(Dashboard!$C$13*tblHistory[[#This Row],[NDX S]]+Dashboard!$C$14*tblHistory[[#This Row],[SOX S]]+Dashboard!$C$15*tblHistory[[#This Row],[AIQ S]])/(Dashboard!$C$13+Dashboard!$C$14+Dashboard!$C$15)*100</f>
        <v/>
      </c>
      <c r="U168" s="46">
        <f>(Dashboard!$C$16*tblHistory[[#This Row],[DTCR S]]+Dashboard!$C$17*tblHistory[[#This Row],[BBB S]]+Dashboard!$C$18*tblHistory[[#This Row],[CCC S]])/(Dashboard!$C$16+Dashboard!$C$17+Dashboard!$C$18)*100</f>
        <v/>
      </c>
      <c r="V168" s="46">
        <f>(Dashboard!$C$19*tblHistory[[#This Row],[BIZD S]]+Dashboard!$C$20*tblHistory[[#This Row],[BKLN S]]+Dashboard!$C$21*tblHistory[[#This Row],[HY S]])/(Dashboard!$C$19+Dashboard!$C$20+Dashboard!$C$21)*100</f>
        <v/>
      </c>
      <c r="W16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8" s="46">
        <f>IFERROR(--(tblHistory[[#This Row],[Score]]&gt;=50),0)</f>
        <v/>
      </c>
      <c r="Y168" s="46">
        <f>IFERROR(--AND(tblHistory[[#This Row],[Score]]&gt;=60,OR(AND(tblHistory[[#This Row],[BIZD S]]&gt;=0.8,tblHistory[[#This Row],[BKLN S]]&gt;=0.5),tblHistory[[#This Row],[CCC S]]&gt;=0.8)),0)</f>
        <v/>
      </c>
      <c r="Z168" s="46">
        <f>IFERROR(--AND(tblHistory[[#This Row],[Score]]&gt;=70,tblHistory[[#This Row],[SOX S]]&gt;=0.83,tblHistory[[#This Row],[AIQ S]]&gt;=0.8),0)</f>
        <v/>
      </c>
      <c r="AA16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69">
      <c r="A169" s="42" t="n">
        <v>46084</v>
      </c>
      <c r="B169" s="43" t="n">
        <v>24720.0801</v>
      </c>
      <c r="C169" s="43" t="n">
        <v>7764.8799</v>
      </c>
      <c r="D169" s="43" t="n">
        <v>48.81</v>
      </c>
      <c r="E169" s="43" t="n">
        <v>24.839</v>
      </c>
      <c r="F169" s="44" t="n">
        <v>106</v>
      </c>
      <c r="G169" s="44" t="n">
        <v>957</v>
      </c>
      <c r="H169" s="43" t="n">
        <v>11.8217</v>
      </c>
      <c r="I169" s="43" t="n">
        <v>19.4027</v>
      </c>
      <c r="J169" s="44" t="n">
        <v>308</v>
      </c>
      <c r="K16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6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6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6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6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6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6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6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6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69" s="46">
        <f>(Dashboard!$C$13*tblHistory[[#This Row],[NDX S]]+Dashboard!$C$14*tblHistory[[#This Row],[SOX S]]+Dashboard!$C$15*tblHistory[[#This Row],[AIQ S]])/(Dashboard!$C$13+Dashboard!$C$14+Dashboard!$C$15)*100</f>
        <v/>
      </c>
      <c r="U169" s="46">
        <f>(Dashboard!$C$16*tblHistory[[#This Row],[DTCR S]]+Dashboard!$C$17*tblHistory[[#This Row],[BBB S]]+Dashboard!$C$18*tblHistory[[#This Row],[CCC S]])/(Dashboard!$C$16+Dashboard!$C$17+Dashboard!$C$18)*100</f>
        <v/>
      </c>
      <c r="V169" s="46">
        <f>(Dashboard!$C$19*tblHistory[[#This Row],[BIZD S]]+Dashboard!$C$20*tblHistory[[#This Row],[BKLN S]]+Dashboard!$C$21*tblHistory[[#This Row],[HY S]])/(Dashboard!$C$19+Dashboard!$C$20+Dashboard!$C$21)*100</f>
        <v/>
      </c>
      <c r="W16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69" s="46">
        <f>IFERROR(--(tblHistory[[#This Row],[Score]]&gt;=50),0)</f>
        <v/>
      </c>
      <c r="Y169" s="46">
        <f>IFERROR(--AND(tblHistory[[#This Row],[Score]]&gt;=60,OR(AND(tblHistory[[#This Row],[BIZD S]]&gt;=0.8,tblHistory[[#This Row],[BKLN S]]&gt;=0.5),tblHistory[[#This Row],[CCC S]]&gt;=0.8)),0)</f>
        <v/>
      </c>
      <c r="Z169" s="46">
        <f>IFERROR(--AND(tblHistory[[#This Row],[Score]]&gt;=70,tblHistory[[#This Row],[SOX S]]&gt;=0.83,tblHistory[[#This Row],[AIQ S]]&gt;=0.8),0)</f>
        <v/>
      </c>
      <c r="AA16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6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6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6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6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0">
      <c r="A170" s="42" t="n">
        <v>46083</v>
      </c>
      <c r="B170" s="43" t="n">
        <v>24992.5996</v>
      </c>
      <c r="C170" s="43" t="n">
        <v>8137.3599</v>
      </c>
      <c r="D170" s="43" t="n">
        <v>50.06</v>
      </c>
      <c r="E170" s="43" t="n">
        <v>25.2475</v>
      </c>
      <c r="F170" s="44" t="n">
        <v>106</v>
      </c>
      <c r="G170" s="44" t="n">
        <v>945</v>
      </c>
      <c r="H170" s="43" t="n">
        <v>11.7669</v>
      </c>
      <c r="I170" s="43" t="n">
        <v>19.3644</v>
      </c>
      <c r="J170" s="44" t="n">
        <v>303</v>
      </c>
      <c r="K17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0" s="46">
        <f>(Dashboard!$C$13*tblHistory[[#This Row],[NDX S]]+Dashboard!$C$14*tblHistory[[#This Row],[SOX S]]+Dashboard!$C$15*tblHistory[[#This Row],[AIQ S]])/(Dashboard!$C$13+Dashboard!$C$14+Dashboard!$C$15)*100</f>
        <v/>
      </c>
      <c r="U170" s="46">
        <f>(Dashboard!$C$16*tblHistory[[#This Row],[DTCR S]]+Dashboard!$C$17*tblHistory[[#This Row],[BBB S]]+Dashboard!$C$18*tblHistory[[#This Row],[CCC S]])/(Dashboard!$C$16+Dashboard!$C$17+Dashboard!$C$18)*100</f>
        <v/>
      </c>
      <c r="V170" s="46">
        <f>(Dashboard!$C$19*tblHistory[[#This Row],[BIZD S]]+Dashboard!$C$20*tblHistory[[#This Row],[BKLN S]]+Dashboard!$C$21*tblHistory[[#This Row],[HY S]])/(Dashboard!$C$19+Dashboard!$C$20+Dashboard!$C$21)*100</f>
        <v/>
      </c>
      <c r="W17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0" s="46">
        <f>IFERROR(--(tblHistory[[#This Row],[Score]]&gt;=50),0)</f>
        <v/>
      </c>
      <c r="Y170" s="46">
        <f>IFERROR(--AND(tblHistory[[#This Row],[Score]]&gt;=60,OR(AND(tblHistory[[#This Row],[BIZD S]]&gt;=0.8,tblHistory[[#This Row],[BKLN S]]&gt;=0.5),tblHistory[[#This Row],[CCC S]]&gt;=0.8)),0)</f>
        <v/>
      </c>
      <c r="Z170" s="46">
        <f>IFERROR(--AND(tblHistory[[#This Row],[Score]]&gt;=70,tblHistory[[#This Row],[SOX S]]&gt;=0.83,tblHistory[[#This Row],[AIQ S]]&gt;=0.8),0)</f>
        <v/>
      </c>
      <c r="AA17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1">
      <c r="A171" s="42" t="n">
        <v>46080</v>
      </c>
      <c r="B171" s="43" t="n">
        <v>24960.0391</v>
      </c>
      <c r="C171" s="43" t="n">
        <v>8098.3701</v>
      </c>
      <c r="D171" s="43" t="n">
        <v>50.26</v>
      </c>
      <c r="E171" s="43" t="n">
        <v>25.4667</v>
      </c>
      <c r="F171" s="44" t="n">
        <v>107</v>
      </c>
      <c r="G171" s="44" t="n">
        <v>950</v>
      </c>
      <c r="H171" s="43" t="n">
        <v>11.5663</v>
      </c>
      <c r="I171" s="43" t="n">
        <v>19.3644</v>
      </c>
      <c r="J171" s="44" t="n">
        <v>310</v>
      </c>
      <c r="K17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1" s="46">
        <f>(Dashboard!$C$13*tblHistory[[#This Row],[NDX S]]+Dashboard!$C$14*tblHistory[[#This Row],[SOX S]]+Dashboard!$C$15*tblHistory[[#This Row],[AIQ S]])/(Dashboard!$C$13+Dashboard!$C$14+Dashboard!$C$15)*100</f>
        <v/>
      </c>
      <c r="U171" s="46">
        <f>(Dashboard!$C$16*tblHistory[[#This Row],[DTCR S]]+Dashboard!$C$17*tblHistory[[#This Row],[BBB S]]+Dashboard!$C$18*tblHistory[[#This Row],[CCC S]])/(Dashboard!$C$16+Dashboard!$C$17+Dashboard!$C$18)*100</f>
        <v/>
      </c>
      <c r="V171" s="46">
        <f>(Dashboard!$C$19*tblHistory[[#This Row],[BIZD S]]+Dashboard!$C$20*tblHistory[[#This Row],[BKLN S]]+Dashboard!$C$21*tblHistory[[#This Row],[HY S]])/(Dashboard!$C$19+Dashboard!$C$20+Dashboard!$C$21)*100</f>
        <v/>
      </c>
      <c r="W17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1" s="46">
        <f>IFERROR(--(tblHistory[[#This Row],[Score]]&gt;=50),0)</f>
        <v/>
      </c>
      <c r="Y171" s="46">
        <f>IFERROR(--AND(tblHistory[[#This Row],[Score]]&gt;=60,OR(AND(tblHistory[[#This Row],[BIZD S]]&gt;=0.8,tblHistory[[#This Row],[BKLN S]]&gt;=0.5),tblHistory[[#This Row],[CCC S]]&gt;=0.8)),0)</f>
        <v/>
      </c>
      <c r="Z171" s="46">
        <f>IFERROR(--AND(tblHistory[[#This Row],[Score]]&gt;=70,tblHistory[[#This Row],[SOX S]]&gt;=0.83,tblHistory[[#This Row],[AIQ S]]&gt;=0.8),0)</f>
        <v/>
      </c>
      <c r="AA17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2">
      <c r="A172" s="42" t="n">
        <v>46079</v>
      </c>
      <c r="B172" s="43" t="n">
        <v>25034.3691</v>
      </c>
      <c r="C172" s="43" t="n">
        <v>8197.2598</v>
      </c>
      <c r="D172" s="43" t="n">
        <v>50.52</v>
      </c>
      <c r="E172" s="43" t="n">
        <v>25.3172</v>
      </c>
      <c r="F172" s="44" t="n">
        <v>103</v>
      </c>
      <c r="G172" s="44" t="n">
        <v>927</v>
      </c>
      <c r="H172" s="43" t="n">
        <v>12.0041</v>
      </c>
      <c r="I172" s="43" t="n">
        <v>19.489</v>
      </c>
      <c r="J172" s="44" t="n">
        <v>298</v>
      </c>
      <c r="K17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2" s="46">
        <f>(Dashboard!$C$13*tblHistory[[#This Row],[NDX S]]+Dashboard!$C$14*tblHistory[[#This Row],[SOX S]]+Dashboard!$C$15*tblHistory[[#This Row],[AIQ S]])/(Dashboard!$C$13+Dashboard!$C$14+Dashboard!$C$15)*100</f>
        <v/>
      </c>
      <c r="U172" s="46">
        <f>(Dashboard!$C$16*tblHistory[[#This Row],[DTCR S]]+Dashboard!$C$17*tblHistory[[#This Row],[BBB S]]+Dashboard!$C$18*tblHistory[[#This Row],[CCC S]])/(Dashboard!$C$16+Dashboard!$C$17+Dashboard!$C$18)*100</f>
        <v/>
      </c>
      <c r="V172" s="46">
        <f>(Dashboard!$C$19*tblHistory[[#This Row],[BIZD S]]+Dashboard!$C$20*tblHistory[[#This Row],[BKLN S]]+Dashboard!$C$21*tblHistory[[#This Row],[HY S]])/(Dashboard!$C$19+Dashboard!$C$20+Dashboard!$C$21)*100</f>
        <v/>
      </c>
      <c r="W17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2" s="46">
        <f>IFERROR(--(tblHistory[[#This Row],[Score]]&gt;=50),0)</f>
        <v/>
      </c>
      <c r="Y172" s="46">
        <f>IFERROR(--AND(tblHistory[[#This Row],[Score]]&gt;=60,OR(AND(tblHistory[[#This Row],[BIZD S]]&gt;=0.8,tblHistory[[#This Row],[BKLN S]]&gt;=0.5),tblHistory[[#This Row],[CCC S]]&gt;=0.8)),0)</f>
        <v/>
      </c>
      <c r="Z172" s="46">
        <f>IFERROR(--AND(tblHistory[[#This Row],[Score]]&gt;=70,tblHistory[[#This Row],[SOX S]]&gt;=0.83,tblHistory[[#This Row],[AIQ S]]&gt;=0.8),0)</f>
        <v/>
      </c>
      <c r="AA17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3">
      <c r="A173" s="42" t="n">
        <v>46078</v>
      </c>
      <c r="B173" s="43" t="n">
        <v>25329.0391</v>
      </c>
      <c r="C173" s="43" t="n">
        <v>8467.429700000001</v>
      </c>
      <c r="D173" s="43" t="n">
        <v>50.55</v>
      </c>
      <c r="E173" s="43" t="n">
        <v>25.6361</v>
      </c>
      <c r="F173" s="44" t="n">
        <v>101</v>
      </c>
      <c r="G173" s="44" t="n">
        <v>918</v>
      </c>
      <c r="H173" s="43" t="n">
        <v>12.223</v>
      </c>
      <c r="I173" s="43" t="n">
        <v>19.5656</v>
      </c>
      <c r="J173" s="44" t="n">
        <v>294</v>
      </c>
      <c r="K17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3" s="46">
        <f>(Dashboard!$C$13*tblHistory[[#This Row],[NDX S]]+Dashboard!$C$14*tblHistory[[#This Row],[SOX S]]+Dashboard!$C$15*tblHistory[[#This Row],[AIQ S]])/(Dashboard!$C$13+Dashboard!$C$14+Dashboard!$C$15)*100</f>
        <v/>
      </c>
      <c r="U173" s="46">
        <f>(Dashboard!$C$16*tblHistory[[#This Row],[DTCR S]]+Dashboard!$C$17*tblHistory[[#This Row],[BBB S]]+Dashboard!$C$18*tblHistory[[#This Row],[CCC S]])/(Dashboard!$C$16+Dashboard!$C$17+Dashboard!$C$18)*100</f>
        <v/>
      </c>
      <c r="V173" s="46">
        <f>(Dashboard!$C$19*tblHistory[[#This Row],[BIZD S]]+Dashboard!$C$20*tblHistory[[#This Row],[BKLN S]]+Dashboard!$C$21*tblHistory[[#This Row],[HY S]])/(Dashboard!$C$19+Dashboard!$C$20+Dashboard!$C$21)*100</f>
        <v/>
      </c>
      <c r="W17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3" s="46">
        <f>IFERROR(--(tblHistory[[#This Row],[Score]]&gt;=50),0)</f>
        <v/>
      </c>
      <c r="Y173" s="46">
        <f>IFERROR(--AND(tblHistory[[#This Row],[Score]]&gt;=60,OR(AND(tblHistory[[#This Row],[BIZD S]]&gt;=0.8,tblHistory[[#This Row],[BKLN S]]&gt;=0.5),tblHistory[[#This Row],[CCC S]]&gt;=0.8)),0)</f>
        <v/>
      </c>
      <c r="Z173" s="46">
        <f>IFERROR(--AND(tblHistory[[#This Row],[Score]]&gt;=70,tblHistory[[#This Row],[SOX S]]&gt;=0.83,tblHistory[[#This Row],[AIQ S]]&gt;=0.8),0)</f>
        <v/>
      </c>
      <c r="AA17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4">
      <c r="A174" s="42" t="n">
        <v>46077</v>
      </c>
      <c r="B174" s="43" t="n">
        <v>24977.0391</v>
      </c>
      <c r="C174" s="43" t="n">
        <v>8332.3398</v>
      </c>
      <c r="D174" s="43" t="n">
        <v>49.49</v>
      </c>
      <c r="E174" s="43" t="n">
        <v>25.6759</v>
      </c>
      <c r="F174" s="44" t="n">
        <v>102</v>
      </c>
      <c r="G174" s="44" t="n">
        <v>915</v>
      </c>
      <c r="H174" s="43" t="n">
        <v>12.0041</v>
      </c>
      <c r="I174" s="43" t="n">
        <v>19.5177</v>
      </c>
      <c r="J174" s="44" t="n">
        <v>297</v>
      </c>
      <c r="K17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4" s="46">
        <f>(Dashboard!$C$13*tblHistory[[#This Row],[NDX S]]+Dashboard!$C$14*tblHistory[[#This Row],[SOX S]]+Dashboard!$C$15*tblHistory[[#This Row],[AIQ S]])/(Dashboard!$C$13+Dashboard!$C$14+Dashboard!$C$15)*100</f>
        <v/>
      </c>
      <c r="U174" s="46">
        <f>(Dashboard!$C$16*tblHistory[[#This Row],[DTCR S]]+Dashboard!$C$17*tblHistory[[#This Row],[BBB S]]+Dashboard!$C$18*tblHistory[[#This Row],[CCC S]])/(Dashboard!$C$16+Dashboard!$C$17+Dashboard!$C$18)*100</f>
        <v/>
      </c>
      <c r="V174" s="46">
        <f>(Dashboard!$C$19*tblHistory[[#This Row],[BIZD S]]+Dashboard!$C$20*tblHistory[[#This Row],[BKLN S]]+Dashboard!$C$21*tblHistory[[#This Row],[HY S]])/(Dashboard!$C$19+Dashboard!$C$20+Dashboard!$C$21)*100</f>
        <v/>
      </c>
      <c r="W17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4" s="46">
        <f>IFERROR(--(tblHistory[[#This Row],[Score]]&gt;=50),0)</f>
        <v/>
      </c>
      <c r="Y174" s="46">
        <f>IFERROR(--AND(tblHistory[[#This Row],[Score]]&gt;=60,OR(AND(tblHistory[[#This Row],[BIZD S]]&gt;=0.8,tblHistory[[#This Row],[BKLN S]]&gt;=0.5),tblHistory[[#This Row],[CCC S]]&gt;=0.8)),0)</f>
        <v/>
      </c>
      <c r="Z174" s="46">
        <f>IFERROR(--AND(tblHistory[[#This Row],[Score]]&gt;=70,tblHistory[[#This Row],[SOX S]]&gt;=0.83,tblHistory[[#This Row],[AIQ S]]&gt;=0.8),0)</f>
        <v/>
      </c>
      <c r="AA17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5">
      <c r="A175" s="42" t="n">
        <v>46076</v>
      </c>
      <c r="B175" s="43" t="n">
        <v>24708.9395</v>
      </c>
      <c r="C175" s="43" t="n">
        <v>8213.459999999999</v>
      </c>
      <c r="D175" s="43" t="n">
        <v>48.53</v>
      </c>
      <c r="E175" s="43" t="n">
        <v>25.3073</v>
      </c>
      <c r="F175" s="44" t="n">
        <v>101</v>
      </c>
      <c r="G175" s="44" t="n">
        <v>904</v>
      </c>
      <c r="H175" s="43" t="n">
        <v>11.8764</v>
      </c>
      <c r="I175" s="43" t="n">
        <v>19.5369</v>
      </c>
      <c r="J175" s="44" t="n">
        <v>295</v>
      </c>
      <c r="K17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5" s="46">
        <f>(Dashboard!$C$13*tblHistory[[#This Row],[NDX S]]+Dashboard!$C$14*tblHistory[[#This Row],[SOX S]]+Dashboard!$C$15*tblHistory[[#This Row],[AIQ S]])/(Dashboard!$C$13+Dashboard!$C$14+Dashboard!$C$15)*100</f>
        <v/>
      </c>
      <c r="U175" s="46">
        <f>(Dashboard!$C$16*tblHistory[[#This Row],[DTCR S]]+Dashboard!$C$17*tblHistory[[#This Row],[BBB S]]+Dashboard!$C$18*tblHistory[[#This Row],[CCC S]])/(Dashboard!$C$16+Dashboard!$C$17+Dashboard!$C$18)*100</f>
        <v/>
      </c>
      <c r="V175" s="46">
        <f>(Dashboard!$C$19*tblHistory[[#This Row],[BIZD S]]+Dashboard!$C$20*tblHistory[[#This Row],[BKLN S]]+Dashboard!$C$21*tblHistory[[#This Row],[HY S]])/(Dashboard!$C$19+Dashboard!$C$20+Dashboard!$C$21)*100</f>
        <v/>
      </c>
      <c r="W17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5" s="46">
        <f>IFERROR(--(tblHistory[[#This Row],[Score]]&gt;=50),0)</f>
        <v/>
      </c>
      <c r="Y175" s="46">
        <f>IFERROR(--AND(tblHistory[[#This Row],[Score]]&gt;=60,OR(AND(tblHistory[[#This Row],[BIZD S]]&gt;=0.8,tblHistory[[#This Row],[BKLN S]]&gt;=0.5),tblHistory[[#This Row],[CCC S]]&gt;=0.8)),0)</f>
        <v/>
      </c>
      <c r="Z175" s="46">
        <f>IFERROR(--AND(tblHistory[[#This Row],[Score]]&gt;=70,tblHistory[[#This Row],[SOX S]]&gt;=0.83,tblHistory[[#This Row],[AIQ S]]&gt;=0.8),0)</f>
        <v/>
      </c>
      <c r="AA17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6">
      <c r="A176" s="42" t="n">
        <v>46073</v>
      </c>
      <c r="B176" s="43" t="n">
        <v>25012.6191</v>
      </c>
      <c r="C176" s="43" t="n">
        <v>8260.419900000001</v>
      </c>
      <c r="D176" s="43" t="n">
        <v>49.88</v>
      </c>
      <c r="E176" s="43" t="n">
        <v>25.4567</v>
      </c>
      <c r="F176" s="44" t="n">
        <v>99</v>
      </c>
      <c r="G176" s="44" t="n">
        <v>887</v>
      </c>
      <c r="H176" s="43" t="n">
        <v>12.0041</v>
      </c>
      <c r="I176" s="43" t="n">
        <v>19.6796</v>
      </c>
      <c r="J176" s="44" t="n">
        <v>286</v>
      </c>
      <c r="K17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6" s="46">
        <f>(Dashboard!$C$13*tblHistory[[#This Row],[NDX S]]+Dashboard!$C$14*tblHistory[[#This Row],[SOX S]]+Dashboard!$C$15*tblHistory[[#This Row],[AIQ S]])/(Dashboard!$C$13+Dashboard!$C$14+Dashboard!$C$15)*100</f>
        <v/>
      </c>
      <c r="U176" s="46">
        <f>(Dashboard!$C$16*tblHistory[[#This Row],[DTCR S]]+Dashboard!$C$17*tblHistory[[#This Row],[BBB S]]+Dashboard!$C$18*tblHistory[[#This Row],[CCC S]])/(Dashboard!$C$16+Dashboard!$C$17+Dashboard!$C$18)*100</f>
        <v/>
      </c>
      <c r="V176" s="46">
        <f>(Dashboard!$C$19*tblHistory[[#This Row],[BIZD S]]+Dashboard!$C$20*tblHistory[[#This Row],[BKLN S]]+Dashboard!$C$21*tblHistory[[#This Row],[HY S]])/(Dashboard!$C$19+Dashboard!$C$20+Dashboard!$C$21)*100</f>
        <v/>
      </c>
      <c r="W17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6" s="46">
        <f>IFERROR(--(tblHistory[[#This Row],[Score]]&gt;=50),0)</f>
        <v/>
      </c>
      <c r="Y176" s="46">
        <f>IFERROR(--AND(tblHistory[[#This Row],[Score]]&gt;=60,OR(AND(tblHistory[[#This Row],[BIZD S]]&gt;=0.8,tblHistory[[#This Row],[BKLN S]]&gt;=0.5),tblHistory[[#This Row],[CCC S]]&gt;=0.8)),0)</f>
        <v/>
      </c>
      <c r="Z176" s="46">
        <f>IFERROR(--AND(tblHistory[[#This Row],[Score]]&gt;=70,tblHistory[[#This Row],[SOX S]]&gt;=0.83,tblHistory[[#This Row],[AIQ S]]&gt;=0.8),0)</f>
        <v/>
      </c>
      <c r="AA17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7">
      <c r="A177" s="42" t="n">
        <v>46072</v>
      </c>
      <c r="B177" s="43" t="n">
        <v>24797.3398</v>
      </c>
      <c r="C177" s="43" t="n">
        <v>8173.2998</v>
      </c>
      <c r="D177" s="43" t="n">
        <v>49.41</v>
      </c>
      <c r="E177" s="43" t="n">
        <v>25.4169</v>
      </c>
      <c r="F177" s="44" t="n">
        <v>99</v>
      </c>
      <c r="G177" s="44" t="n">
        <v>888</v>
      </c>
      <c r="H177" s="43" t="n">
        <v>12.0406</v>
      </c>
      <c r="I177" s="43" t="n">
        <v>19.6796</v>
      </c>
      <c r="J177" s="44" t="n">
        <v>288</v>
      </c>
      <c r="K17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7" s="46">
        <f>(Dashboard!$C$13*tblHistory[[#This Row],[NDX S]]+Dashboard!$C$14*tblHistory[[#This Row],[SOX S]]+Dashboard!$C$15*tblHistory[[#This Row],[AIQ S]])/(Dashboard!$C$13+Dashboard!$C$14+Dashboard!$C$15)*100</f>
        <v/>
      </c>
      <c r="U177" s="46">
        <f>(Dashboard!$C$16*tblHistory[[#This Row],[DTCR S]]+Dashboard!$C$17*tblHistory[[#This Row],[BBB S]]+Dashboard!$C$18*tblHistory[[#This Row],[CCC S]])/(Dashboard!$C$16+Dashboard!$C$17+Dashboard!$C$18)*100</f>
        <v/>
      </c>
      <c r="V177" s="46">
        <f>(Dashboard!$C$19*tblHistory[[#This Row],[BIZD S]]+Dashboard!$C$20*tblHistory[[#This Row],[BKLN S]]+Dashboard!$C$21*tblHistory[[#This Row],[HY S]])/(Dashboard!$C$19+Dashboard!$C$20+Dashboard!$C$21)*100</f>
        <v/>
      </c>
      <c r="W17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7" s="46">
        <f>IFERROR(--(tblHistory[[#This Row],[Score]]&gt;=50),0)</f>
        <v/>
      </c>
      <c r="Y177" s="46">
        <f>IFERROR(--AND(tblHistory[[#This Row],[Score]]&gt;=60,OR(AND(tblHistory[[#This Row],[BIZD S]]&gt;=0.8,tblHistory[[#This Row],[BKLN S]]&gt;=0.5),tblHistory[[#This Row],[CCC S]]&gt;=0.8)),0)</f>
        <v/>
      </c>
      <c r="Z177" s="46">
        <f>IFERROR(--AND(tblHistory[[#This Row],[Score]]&gt;=70,tblHistory[[#This Row],[SOX S]]&gt;=0.83,tblHistory[[#This Row],[AIQ S]]&gt;=0.8),0)</f>
        <v/>
      </c>
      <c r="AA17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8">
      <c r="A178" s="42" t="n">
        <v>46071</v>
      </c>
      <c r="B178" s="43" t="n">
        <v>24898.8691</v>
      </c>
      <c r="C178" s="43" t="n">
        <v>8214.3496</v>
      </c>
      <c r="D178" s="43" t="n">
        <v>49.55</v>
      </c>
      <c r="E178" s="43" t="n">
        <v>25.3969</v>
      </c>
      <c r="F178" s="44" t="n">
        <v>99</v>
      </c>
      <c r="G178" s="44" t="n">
        <v>887</v>
      </c>
      <c r="H178" s="43" t="n">
        <v>12.2595</v>
      </c>
      <c r="I178" s="43" t="n">
        <v>19.7082</v>
      </c>
      <c r="J178" s="44" t="n">
        <v>286</v>
      </c>
      <c r="K17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8" s="46">
        <f>(Dashboard!$C$13*tblHistory[[#This Row],[NDX S]]+Dashboard!$C$14*tblHistory[[#This Row],[SOX S]]+Dashboard!$C$15*tblHistory[[#This Row],[AIQ S]])/(Dashboard!$C$13+Dashboard!$C$14+Dashboard!$C$15)*100</f>
        <v/>
      </c>
      <c r="U178" s="46">
        <f>(Dashboard!$C$16*tblHistory[[#This Row],[DTCR S]]+Dashboard!$C$17*tblHistory[[#This Row],[BBB S]]+Dashboard!$C$18*tblHistory[[#This Row],[CCC S]])/(Dashboard!$C$16+Dashboard!$C$17+Dashboard!$C$18)*100</f>
        <v/>
      </c>
      <c r="V178" s="46">
        <f>(Dashboard!$C$19*tblHistory[[#This Row],[BIZD S]]+Dashboard!$C$20*tblHistory[[#This Row],[BKLN S]]+Dashboard!$C$21*tblHistory[[#This Row],[HY S]])/(Dashboard!$C$19+Dashboard!$C$20+Dashboard!$C$21)*100</f>
        <v/>
      </c>
      <c r="W17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8" s="46">
        <f>IFERROR(--(tblHistory[[#This Row],[Score]]&gt;=50),0)</f>
        <v/>
      </c>
      <c r="Y178" s="46">
        <f>IFERROR(--AND(tblHistory[[#This Row],[Score]]&gt;=60,OR(AND(tblHistory[[#This Row],[BIZD S]]&gt;=0.8,tblHistory[[#This Row],[BKLN S]]&gt;=0.5),tblHistory[[#This Row],[CCC S]]&gt;=0.8)),0)</f>
        <v/>
      </c>
      <c r="Z178" s="46">
        <f>IFERROR(--AND(tblHistory[[#This Row],[Score]]&gt;=70,tblHistory[[#This Row],[SOX S]]&gt;=0.83,tblHistory[[#This Row],[AIQ S]]&gt;=0.8),0)</f>
        <v/>
      </c>
      <c r="AA17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79">
      <c r="A179" s="42" t="n">
        <v>46070</v>
      </c>
      <c r="B179" s="43" t="n">
        <v>24701.5996</v>
      </c>
      <c r="C179" s="43" t="n">
        <v>8136.0498</v>
      </c>
      <c r="D179" s="43" t="n">
        <v>48.97</v>
      </c>
      <c r="E179" s="43" t="n">
        <v>26.0147</v>
      </c>
      <c r="F179" s="44" t="n">
        <v>101</v>
      </c>
      <c r="G179" s="44" t="n">
        <v>900</v>
      </c>
      <c r="H179" s="43" t="n">
        <v>12.1592</v>
      </c>
      <c r="I179" s="43" t="n">
        <v>19.6892</v>
      </c>
      <c r="J179" s="44" t="n">
        <v>294</v>
      </c>
      <c r="K17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7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7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7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7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7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7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7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7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79" s="46">
        <f>(Dashboard!$C$13*tblHistory[[#This Row],[NDX S]]+Dashboard!$C$14*tblHistory[[#This Row],[SOX S]]+Dashboard!$C$15*tblHistory[[#This Row],[AIQ S]])/(Dashboard!$C$13+Dashboard!$C$14+Dashboard!$C$15)*100</f>
        <v/>
      </c>
      <c r="U179" s="46">
        <f>(Dashboard!$C$16*tblHistory[[#This Row],[DTCR S]]+Dashboard!$C$17*tblHistory[[#This Row],[BBB S]]+Dashboard!$C$18*tblHistory[[#This Row],[CCC S]])/(Dashboard!$C$16+Dashboard!$C$17+Dashboard!$C$18)*100</f>
        <v/>
      </c>
      <c r="V179" s="46">
        <f>(Dashboard!$C$19*tblHistory[[#This Row],[BIZD S]]+Dashboard!$C$20*tblHistory[[#This Row],[BKLN S]]+Dashboard!$C$21*tblHistory[[#This Row],[HY S]])/(Dashboard!$C$19+Dashboard!$C$20+Dashboard!$C$21)*100</f>
        <v/>
      </c>
      <c r="W17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79" s="46">
        <f>IFERROR(--(tblHistory[[#This Row],[Score]]&gt;=50),0)</f>
        <v/>
      </c>
      <c r="Y179" s="46">
        <f>IFERROR(--AND(tblHistory[[#This Row],[Score]]&gt;=60,OR(AND(tblHistory[[#This Row],[BIZD S]]&gt;=0.8,tblHistory[[#This Row],[BKLN S]]&gt;=0.5),tblHistory[[#This Row],[CCC S]]&gt;=0.8)),0)</f>
        <v/>
      </c>
      <c r="Z179" s="46">
        <f>IFERROR(--AND(tblHistory[[#This Row],[Score]]&gt;=70,tblHistory[[#This Row],[SOX S]]&gt;=0.83,tblHistory[[#This Row],[AIQ S]]&gt;=0.8),0)</f>
        <v/>
      </c>
      <c r="AA17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7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7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7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7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0">
      <c r="A180" s="42" t="n">
        <v>46066</v>
      </c>
      <c r="B180" s="43" t="n">
        <v>24732.7305</v>
      </c>
      <c r="C180" s="43" t="n">
        <v>8137.8599</v>
      </c>
      <c r="D180" s="43" t="n">
        <v>49.45</v>
      </c>
      <c r="E180" s="43" t="n">
        <v>26.1143</v>
      </c>
      <c r="F180" s="44" t="n">
        <v>100</v>
      </c>
      <c r="G180" s="44" t="n">
        <v>906</v>
      </c>
      <c r="H180" s="43" t="n">
        <v>12.2413</v>
      </c>
      <c r="I180" s="43" t="n">
        <v>19.6796</v>
      </c>
      <c r="J180" s="44" t="n">
        <v>295</v>
      </c>
      <c r="K18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0" s="46">
        <f>(Dashboard!$C$13*tblHistory[[#This Row],[NDX S]]+Dashboard!$C$14*tblHistory[[#This Row],[SOX S]]+Dashboard!$C$15*tblHistory[[#This Row],[AIQ S]])/(Dashboard!$C$13+Dashboard!$C$14+Dashboard!$C$15)*100</f>
        <v/>
      </c>
      <c r="U180" s="46">
        <f>(Dashboard!$C$16*tblHistory[[#This Row],[DTCR S]]+Dashboard!$C$17*tblHistory[[#This Row],[BBB S]]+Dashboard!$C$18*tblHistory[[#This Row],[CCC S]])/(Dashboard!$C$16+Dashboard!$C$17+Dashboard!$C$18)*100</f>
        <v/>
      </c>
      <c r="V180" s="46">
        <f>(Dashboard!$C$19*tblHistory[[#This Row],[BIZD S]]+Dashboard!$C$20*tblHistory[[#This Row],[BKLN S]]+Dashboard!$C$21*tblHistory[[#This Row],[HY S]])/(Dashboard!$C$19+Dashboard!$C$20+Dashboard!$C$21)*100</f>
        <v/>
      </c>
      <c r="W18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0" s="46">
        <f>IFERROR(--(tblHistory[[#This Row],[Score]]&gt;=50),0)</f>
        <v/>
      </c>
      <c r="Y180" s="46">
        <f>IFERROR(--AND(tblHistory[[#This Row],[Score]]&gt;=60,OR(AND(tblHistory[[#This Row],[BIZD S]]&gt;=0.8,tblHistory[[#This Row],[BKLN S]]&gt;=0.5),tblHistory[[#This Row],[CCC S]]&gt;=0.8)),0)</f>
        <v/>
      </c>
      <c r="Z180" s="46">
        <f>IFERROR(--AND(tblHistory[[#This Row],[Score]]&gt;=70,tblHistory[[#This Row],[SOX S]]&gt;=0.83,tblHistory[[#This Row],[AIQ S]]&gt;=0.8),0)</f>
        <v/>
      </c>
      <c r="AA18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1">
      <c r="A181" s="42" t="n">
        <v>46065</v>
      </c>
      <c r="B181" s="43" t="n">
        <v>24687.6094</v>
      </c>
      <c r="C181" s="43" t="n">
        <v>8084.7002</v>
      </c>
      <c r="D181" s="43" t="n">
        <v>49.21</v>
      </c>
      <c r="E181" s="43" t="n">
        <v>25.9449</v>
      </c>
      <c r="F181" s="44" t="n">
        <v>99</v>
      </c>
      <c r="G181" s="44" t="n">
        <v>897</v>
      </c>
      <c r="H181" s="43" t="n">
        <v>12.4146</v>
      </c>
      <c r="I181" s="43" t="n">
        <v>19.6606</v>
      </c>
      <c r="J181" s="44" t="n">
        <v>292</v>
      </c>
      <c r="K18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1" s="46">
        <f>(Dashboard!$C$13*tblHistory[[#This Row],[NDX S]]+Dashboard!$C$14*tblHistory[[#This Row],[SOX S]]+Dashboard!$C$15*tblHistory[[#This Row],[AIQ S]])/(Dashboard!$C$13+Dashboard!$C$14+Dashboard!$C$15)*100</f>
        <v/>
      </c>
      <c r="U181" s="46">
        <f>(Dashboard!$C$16*tblHistory[[#This Row],[DTCR S]]+Dashboard!$C$17*tblHistory[[#This Row],[BBB S]]+Dashboard!$C$18*tblHistory[[#This Row],[CCC S]])/(Dashboard!$C$16+Dashboard!$C$17+Dashboard!$C$18)*100</f>
        <v/>
      </c>
      <c r="V181" s="46">
        <f>(Dashboard!$C$19*tblHistory[[#This Row],[BIZD S]]+Dashboard!$C$20*tblHistory[[#This Row],[BKLN S]]+Dashboard!$C$21*tblHistory[[#This Row],[HY S]])/(Dashboard!$C$19+Dashboard!$C$20+Dashboard!$C$21)*100</f>
        <v/>
      </c>
      <c r="W18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1" s="46">
        <f>IFERROR(--(tblHistory[[#This Row],[Score]]&gt;=50),0)</f>
        <v/>
      </c>
      <c r="Y181" s="46">
        <f>IFERROR(--AND(tblHistory[[#This Row],[Score]]&gt;=60,OR(AND(tblHistory[[#This Row],[BIZD S]]&gt;=0.8,tblHistory[[#This Row],[BKLN S]]&gt;=0.5),tblHistory[[#This Row],[CCC S]]&gt;=0.8)),0)</f>
        <v/>
      </c>
      <c r="Z181" s="46">
        <f>IFERROR(--AND(tblHistory[[#This Row],[Score]]&gt;=70,tblHistory[[#This Row],[SOX S]]&gt;=0.83,tblHistory[[#This Row],[AIQ S]]&gt;=0.8),0)</f>
        <v/>
      </c>
      <c r="AA18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2">
      <c r="A182" s="42" t="n">
        <v>46064</v>
      </c>
      <c r="B182" s="43" t="n">
        <v>25201.2598</v>
      </c>
      <c r="C182" s="43" t="n">
        <v>8291.8604</v>
      </c>
      <c r="D182" s="43" t="n">
        <v>50.55</v>
      </c>
      <c r="E182" s="43" t="n">
        <v>25.4767</v>
      </c>
      <c r="F182" s="44" t="n">
        <v>98</v>
      </c>
      <c r="G182" s="44" t="n">
        <v>885</v>
      </c>
      <c r="H182" s="43" t="n">
        <v>12.5514</v>
      </c>
      <c r="I182" s="43" t="n">
        <v>19.7178</v>
      </c>
      <c r="J182" s="44" t="n">
        <v>284</v>
      </c>
      <c r="K18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2" s="46">
        <f>(Dashboard!$C$13*tblHistory[[#This Row],[NDX S]]+Dashboard!$C$14*tblHistory[[#This Row],[SOX S]]+Dashboard!$C$15*tblHistory[[#This Row],[AIQ S]])/(Dashboard!$C$13+Dashboard!$C$14+Dashboard!$C$15)*100</f>
        <v/>
      </c>
      <c r="U182" s="46">
        <f>(Dashboard!$C$16*tblHistory[[#This Row],[DTCR S]]+Dashboard!$C$17*tblHistory[[#This Row],[BBB S]]+Dashboard!$C$18*tblHistory[[#This Row],[CCC S]])/(Dashboard!$C$16+Dashboard!$C$17+Dashboard!$C$18)*100</f>
        <v/>
      </c>
      <c r="V182" s="46">
        <f>(Dashboard!$C$19*tblHistory[[#This Row],[BIZD S]]+Dashboard!$C$20*tblHistory[[#This Row],[BKLN S]]+Dashboard!$C$21*tblHistory[[#This Row],[HY S]])/(Dashboard!$C$19+Dashboard!$C$20+Dashboard!$C$21)*100</f>
        <v/>
      </c>
      <c r="W18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2" s="46">
        <f>IFERROR(--(tblHistory[[#This Row],[Score]]&gt;=50),0)</f>
        <v/>
      </c>
      <c r="Y182" s="46">
        <f>IFERROR(--AND(tblHistory[[#This Row],[Score]]&gt;=60,OR(AND(tblHistory[[#This Row],[BIZD S]]&gt;=0.8,tblHistory[[#This Row],[BKLN S]]&gt;=0.5),tblHistory[[#This Row],[CCC S]]&gt;=0.8)),0)</f>
        <v/>
      </c>
      <c r="Z182" s="46">
        <f>IFERROR(--AND(tblHistory[[#This Row],[Score]]&gt;=70,tblHistory[[#This Row],[SOX S]]&gt;=0.83,tblHistory[[#This Row],[AIQ S]]&gt;=0.8),0)</f>
        <v/>
      </c>
      <c r="AA18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3">
      <c r="A183" s="42" t="n">
        <v>46063</v>
      </c>
      <c r="B183" s="43" t="n">
        <v>25127.6406</v>
      </c>
      <c r="C183" s="43" t="n">
        <v>8107.1299</v>
      </c>
      <c r="D183" s="43" t="n">
        <v>50.77</v>
      </c>
      <c r="E183" s="43" t="n">
        <v>25.0383</v>
      </c>
      <c r="F183" s="44" t="n">
        <v>98</v>
      </c>
      <c r="G183" s="44" t="n">
        <v>892</v>
      </c>
      <c r="H183" s="43" t="n">
        <v>12.5879</v>
      </c>
      <c r="I183" s="43" t="n">
        <v>19.7082</v>
      </c>
      <c r="J183" s="44" t="n">
        <v>286</v>
      </c>
      <c r="K18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3" s="46">
        <f>(Dashboard!$C$13*tblHistory[[#This Row],[NDX S]]+Dashboard!$C$14*tblHistory[[#This Row],[SOX S]]+Dashboard!$C$15*tblHistory[[#This Row],[AIQ S]])/(Dashboard!$C$13+Dashboard!$C$14+Dashboard!$C$15)*100</f>
        <v/>
      </c>
      <c r="U183" s="46">
        <f>(Dashboard!$C$16*tblHistory[[#This Row],[DTCR S]]+Dashboard!$C$17*tblHistory[[#This Row],[BBB S]]+Dashboard!$C$18*tblHistory[[#This Row],[CCC S]])/(Dashboard!$C$16+Dashboard!$C$17+Dashboard!$C$18)*100</f>
        <v/>
      </c>
      <c r="V183" s="46">
        <f>(Dashboard!$C$19*tblHistory[[#This Row],[BIZD S]]+Dashboard!$C$20*tblHistory[[#This Row],[BKLN S]]+Dashboard!$C$21*tblHistory[[#This Row],[HY S]])/(Dashboard!$C$19+Dashboard!$C$20+Dashboard!$C$21)*100</f>
        <v/>
      </c>
      <c r="W18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3" s="46">
        <f>IFERROR(--(tblHistory[[#This Row],[Score]]&gt;=50),0)</f>
        <v/>
      </c>
      <c r="Y183" s="46">
        <f>IFERROR(--AND(tblHistory[[#This Row],[Score]]&gt;=60,OR(AND(tblHistory[[#This Row],[BIZD S]]&gt;=0.8,tblHistory[[#This Row],[BKLN S]]&gt;=0.5),tblHistory[[#This Row],[CCC S]]&gt;=0.8)),0)</f>
        <v/>
      </c>
      <c r="Z183" s="46">
        <f>IFERROR(--AND(tblHistory[[#This Row],[Score]]&gt;=70,tblHistory[[#This Row],[SOX S]]&gt;=0.83,tblHistory[[#This Row],[AIQ S]]&gt;=0.8),0)</f>
        <v/>
      </c>
      <c r="AA18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4">
      <c r="A184" s="42" t="n">
        <v>46062</v>
      </c>
      <c r="B184" s="43" t="n">
        <v>25268.1406</v>
      </c>
      <c r="C184" s="43" t="n">
        <v>8162.5801</v>
      </c>
      <c r="D184" s="43" t="n">
        <v>50.83</v>
      </c>
      <c r="E184" s="43" t="n">
        <v>24.9187</v>
      </c>
      <c r="F184" s="44" t="n">
        <v>96</v>
      </c>
      <c r="G184" s="44" t="n">
        <v>887</v>
      </c>
      <c r="H184" s="43" t="n">
        <v>12.3872</v>
      </c>
      <c r="I184" s="43" t="n">
        <v>19.7178</v>
      </c>
      <c r="J184" s="44" t="n">
        <v>284</v>
      </c>
      <c r="K18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4" s="46">
        <f>(Dashboard!$C$13*tblHistory[[#This Row],[NDX S]]+Dashboard!$C$14*tblHistory[[#This Row],[SOX S]]+Dashboard!$C$15*tblHistory[[#This Row],[AIQ S]])/(Dashboard!$C$13+Dashboard!$C$14+Dashboard!$C$15)*100</f>
        <v/>
      </c>
      <c r="U184" s="46">
        <f>(Dashboard!$C$16*tblHistory[[#This Row],[DTCR S]]+Dashboard!$C$17*tblHistory[[#This Row],[BBB S]]+Dashboard!$C$18*tblHistory[[#This Row],[CCC S]])/(Dashboard!$C$16+Dashboard!$C$17+Dashboard!$C$18)*100</f>
        <v/>
      </c>
      <c r="V184" s="46">
        <f>(Dashboard!$C$19*tblHistory[[#This Row],[BIZD S]]+Dashboard!$C$20*tblHistory[[#This Row],[BKLN S]]+Dashboard!$C$21*tblHistory[[#This Row],[HY S]])/(Dashboard!$C$19+Dashboard!$C$20+Dashboard!$C$21)*100</f>
        <v/>
      </c>
      <c r="W18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4" s="46">
        <f>IFERROR(--(tblHistory[[#This Row],[Score]]&gt;=50),0)</f>
        <v/>
      </c>
      <c r="Y184" s="46">
        <f>IFERROR(--AND(tblHistory[[#This Row],[Score]]&gt;=60,OR(AND(tblHistory[[#This Row],[BIZD S]]&gt;=0.8,tblHistory[[#This Row],[BKLN S]]&gt;=0.5),tblHistory[[#This Row],[CCC S]]&gt;=0.8)),0)</f>
        <v/>
      </c>
      <c r="Z184" s="46">
        <f>IFERROR(--AND(tblHistory[[#This Row],[Score]]&gt;=70,tblHistory[[#This Row],[SOX S]]&gt;=0.83,tblHistory[[#This Row],[AIQ S]]&gt;=0.8),0)</f>
        <v/>
      </c>
      <c r="AA18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5">
      <c r="A185" s="42" t="n">
        <v>46059</v>
      </c>
      <c r="B185" s="43" t="n">
        <v>25075.7695</v>
      </c>
      <c r="C185" s="43" t="n">
        <v>8048.6201</v>
      </c>
      <c r="D185" s="43" t="n">
        <v>50.08</v>
      </c>
      <c r="E185" s="43" t="n">
        <v>24.5002</v>
      </c>
      <c r="F185" s="44" t="n">
        <v>96</v>
      </c>
      <c r="G185" s="44" t="n">
        <v>892</v>
      </c>
      <c r="H185" s="43" t="n">
        <v>12.2413</v>
      </c>
      <c r="I185" s="43" t="n">
        <v>19.7178</v>
      </c>
      <c r="J185" s="44" t="n">
        <v>287</v>
      </c>
      <c r="K18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5" s="46">
        <f>(Dashboard!$C$13*tblHistory[[#This Row],[NDX S]]+Dashboard!$C$14*tblHistory[[#This Row],[SOX S]]+Dashboard!$C$15*tblHistory[[#This Row],[AIQ S]])/(Dashboard!$C$13+Dashboard!$C$14+Dashboard!$C$15)*100</f>
        <v/>
      </c>
      <c r="U185" s="46">
        <f>(Dashboard!$C$16*tblHistory[[#This Row],[DTCR S]]+Dashboard!$C$17*tblHistory[[#This Row],[BBB S]]+Dashboard!$C$18*tblHistory[[#This Row],[CCC S]])/(Dashboard!$C$16+Dashboard!$C$17+Dashboard!$C$18)*100</f>
        <v/>
      </c>
      <c r="V185" s="46">
        <f>(Dashboard!$C$19*tblHistory[[#This Row],[BIZD S]]+Dashboard!$C$20*tblHistory[[#This Row],[BKLN S]]+Dashboard!$C$21*tblHistory[[#This Row],[HY S]])/(Dashboard!$C$19+Dashboard!$C$20+Dashboard!$C$21)*100</f>
        <v/>
      </c>
      <c r="W18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5" s="46">
        <f>IFERROR(--(tblHistory[[#This Row],[Score]]&gt;=50),0)</f>
        <v/>
      </c>
      <c r="Y185" s="46">
        <f>IFERROR(--AND(tblHistory[[#This Row],[Score]]&gt;=60,OR(AND(tblHistory[[#This Row],[BIZD S]]&gt;=0.8,tblHistory[[#This Row],[BKLN S]]&gt;=0.5),tblHistory[[#This Row],[CCC S]]&gt;=0.8)),0)</f>
        <v/>
      </c>
      <c r="Z185" s="46">
        <f>IFERROR(--AND(tblHistory[[#This Row],[Score]]&gt;=70,tblHistory[[#This Row],[SOX S]]&gt;=0.83,tblHistory[[#This Row],[AIQ S]]&gt;=0.8),0)</f>
        <v/>
      </c>
      <c r="AA18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6">
      <c r="A186" s="42" t="n">
        <v>46058</v>
      </c>
      <c r="B186" s="43" t="n">
        <v>24548.6895</v>
      </c>
      <c r="C186" s="43" t="n">
        <v>7614.6401</v>
      </c>
      <c r="D186" s="43" t="n">
        <v>48.47</v>
      </c>
      <c r="E186" s="43" t="n">
        <v>23.4142</v>
      </c>
      <c r="F186" s="44" t="n">
        <v>96</v>
      </c>
      <c r="G186" s="44" t="n">
        <v>900</v>
      </c>
      <c r="H186" s="43" t="n">
        <v>12.0497</v>
      </c>
      <c r="I186" s="43" t="n">
        <v>19.6415</v>
      </c>
      <c r="J186" s="44" t="n">
        <v>297</v>
      </c>
      <c r="K18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6" s="46">
        <f>(Dashboard!$C$13*tblHistory[[#This Row],[NDX S]]+Dashboard!$C$14*tblHistory[[#This Row],[SOX S]]+Dashboard!$C$15*tblHistory[[#This Row],[AIQ S]])/(Dashboard!$C$13+Dashboard!$C$14+Dashboard!$C$15)*100</f>
        <v/>
      </c>
      <c r="U186" s="46">
        <f>(Dashboard!$C$16*tblHistory[[#This Row],[DTCR S]]+Dashboard!$C$17*tblHistory[[#This Row],[BBB S]]+Dashboard!$C$18*tblHistory[[#This Row],[CCC S]])/(Dashboard!$C$16+Dashboard!$C$17+Dashboard!$C$18)*100</f>
        <v/>
      </c>
      <c r="V186" s="46">
        <f>(Dashboard!$C$19*tblHistory[[#This Row],[BIZD S]]+Dashboard!$C$20*tblHistory[[#This Row],[BKLN S]]+Dashboard!$C$21*tblHistory[[#This Row],[HY S]])/(Dashboard!$C$19+Dashboard!$C$20+Dashboard!$C$21)*100</f>
        <v/>
      </c>
      <c r="W18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6" s="46">
        <f>IFERROR(--(tblHistory[[#This Row],[Score]]&gt;=50),0)</f>
        <v/>
      </c>
      <c r="Y186" s="46">
        <f>IFERROR(--AND(tblHistory[[#This Row],[Score]]&gt;=60,OR(AND(tblHistory[[#This Row],[BIZD S]]&gt;=0.8,tblHistory[[#This Row],[BKLN S]]&gt;=0.5),tblHistory[[#This Row],[CCC S]]&gt;=0.8)),0)</f>
        <v/>
      </c>
      <c r="Z186" s="46">
        <f>IFERROR(--AND(tblHistory[[#This Row],[Score]]&gt;=70,tblHistory[[#This Row],[SOX S]]&gt;=0.83,tblHistory[[#This Row],[AIQ S]]&gt;=0.8),0)</f>
        <v/>
      </c>
      <c r="AA18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7">
      <c r="A187" s="42" t="n">
        <v>46057</v>
      </c>
      <c r="B187" s="43" t="n">
        <v>24891.2402</v>
      </c>
      <c r="C187" s="43" t="n">
        <v>7619.1602</v>
      </c>
      <c r="D187" s="43" t="n">
        <v>49.38</v>
      </c>
      <c r="E187" s="43" t="n">
        <v>23.8327</v>
      </c>
      <c r="F187" s="44" t="n">
        <v>95</v>
      </c>
      <c r="G187" s="44" t="n">
        <v>880</v>
      </c>
      <c r="H187" s="43" t="n">
        <v>12.4146</v>
      </c>
      <c r="I187" s="43" t="n">
        <v>19.6796</v>
      </c>
      <c r="J187" s="44" t="n">
        <v>286</v>
      </c>
      <c r="K18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7" s="46">
        <f>(Dashboard!$C$13*tblHistory[[#This Row],[NDX S]]+Dashboard!$C$14*tblHistory[[#This Row],[SOX S]]+Dashboard!$C$15*tblHistory[[#This Row],[AIQ S]])/(Dashboard!$C$13+Dashboard!$C$14+Dashboard!$C$15)*100</f>
        <v/>
      </c>
      <c r="U187" s="46">
        <f>(Dashboard!$C$16*tblHistory[[#This Row],[DTCR S]]+Dashboard!$C$17*tblHistory[[#This Row],[BBB S]]+Dashboard!$C$18*tblHistory[[#This Row],[CCC S]])/(Dashboard!$C$16+Dashboard!$C$17+Dashboard!$C$18)*100</f>
        <v/>
      </c>
      <c r="V187" s="46">
        <f>(Dashboard!$C$19*tblHistory[[#This Row],[BIZD S]]+Dashboard!$C$20*tblHistory[[#This Row],[BKLN S]]+Dashboard!$C$21*tblHistory[[#This Row],[HY S]])/(Dashboard!$C$19+Dashboard!$C$20+Dashboard!$C$21)*100</f>
        <v/>
      </c>
      <c r="W18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7" s="46">
        <f>IFERROR(--(tblHistory[[#This Row],[Score]]&gt;=50),0)</f>
        <v/>
      </c>
      <c r="Y187" s="46">
        <f>IFERROR(--AND(tblHistory[[#This Row],[Score]]&gt;=60,OR(AND(tblHistory[[#This Row],[BIZD S]]&gt;=0.8,tblHistory[[#This Row],[BKLN S]]&gt;=0.5),tblHistory[[#This Row],[CCC S]]&gt;=0.8)),0)</f>
        <v/>
      </c>
      <c r="Z187" s="46">
        <f>IFERROR(--AND(tblHistory[[#This Row],[Score]]&gt;=70,tblHistory[[#This Row],[SOX S]]&gt;=0.83,tblHistory[[#This Row],[AIQ S]]&gt;=0.8),0)</f>
        <v/>
      </c>
      <c r="AA18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8">
      <c r="A188" s="42" t="n">
        <v>46056</v>
      </c>
      <c r="B188" s="43" t="n">
        <v>25338.6191</v>
      </c>
      <c r="C188" s="43" t="n">
        <v>7966.3301</v>
      </c>
      <c r="D188" s="43" t="n">
        <v>51.04</v>
      </c>
      <c r="E188" s="43" t="n">
        <v>24.2013</v>
      </c>
      <c r="F188" s="44" t="n">
        <v>94</v>
      </c>
      <c r="G188" s="44" t="n">
        <v>874</v>
      </c>
      <c r="H188" s="43" t="n">
        <v>12.2686</v>
      </c>
      <c r="I188" s="43" t="n">
        <v>19.7464</v>
      </c>
      <c r="J188" s="44" t="n">
        <v>285</v>
      </c>
      <c r="K18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8" s="46">
        <f>(Dashboard!$C$13*tblHistory[[#This Row],[NDX S]]+Dashboard!$C$14*tblHistory[[#This Row],[SOX S]]+Dashboard!$C$15*tblHistory[[#This Row],[AIQ S]])/(Dashboard!$C$13+Dashboard!$C$14+Dashboard!$C$15)*100</f>
        <v/>
      </c>
      <c r="U188" s="46">
        <f>(Dashboard!$C$16*tblHistory[[#This Row],[DTCR S]]+Dashboard!$C$17*tblHistory[[#This Row],[BBB S]]+Dashboard!$C$18*tblHistory[[#This Row],[CCC S]])/(Dashboard!$C$16+Dashboard!$C$17+Dashboard!$C$18)*100</f>
        <v/>
      </c>
      <c r="V188" s="46">
        <f>(Dashboard!$C$19*tblHistory[[#This Row],[BIZD S]]+Dashboard!$C$20*tblHistory[[#This Row],[BKLN S]]+Dashboard!$C$21*tblHistory[[#This Row],[HY S]])/(Dashboard!$C$19+Dashboard!$C$20+Dashboard!$C$21)*100</f>
        <v/>
      </c>
      <c r="W18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8" s="46">
        <f>IFERROR(--(tblHistory[[#This Row],[Score]]&gt;=50),0)</f>
        <v/>
      </c>
      <c r="Y188" s="46">
        <f>IFERROR(--AND(tblHistory[[#This Row],[Score]]&gt;=60,OR(AND(tblHistory[[#This Row],[BIZD S]]&gt;=0.8,tblHistory[[#This Row],[BKLN S]]&gt;=0.5),tblHistory[[#This Row],[CCC S]]&gt;=0.8)),0)</f>
        <v/>
      </c>
      <c r="Z188" s="46">
        <f>IFERROR(--AND(tblHistory[[#This Row],[Score]]&gt;=70,tblHistory[[#This Row],[SOX S]]&gt;=0.83,tblHistory[[#This Row],[AIQ S]]&gt;=0.8),0)</f>
        <v/>
      </c>
      <c r="AA18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89">
      <c r="A189" s="42" t="n">
        <v>46055</v>
      </c>
      <c r="B189" s="43" t="n">
        <v>25738.6094</v>
      </c>
      <c r="C189" s="43" t="n">
        <v>8134.4902</v>
      </c>
      <c r="D189" s="43" t="n">
        <v>52.38</v>
      </c>
      <c r="E189" s="43" t="n">
        <v>24.4205</v>
      </c>
      <c r="F189" s="44" t="n">
        <v>93</v>
      </c>
      <c r="G189" s="44" t="n">
        <v>868</v>
      </c>
      <c r="H189" s="43" t="n">
        <v>12.5514</v>
      </c>
      <c r="I189" s="43" t="n">
        <v>19.8036</v>
      </c>
      <c r="J189" s="44" t="n">
        <v>281</v>
      </c>
      <c r="K18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8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8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8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8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8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8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8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8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89" s="46">
        <f>(Dashboard!$C$13*tblHistory[[#This Row],[NDX S]]+Dashboard!$C$14*tblHistory[[#This Row],[SOX S]]+Dashboard!$C$15*tblHistory[[#This Row],[AIQ S]])/(Dashboard!$C$13+Dashboard!$C$14+Dashboard!$C$15)*100</f>
        <v/>
      </c>
      <c r="U189" s="46">
        <f>(Dashboard!$C$16*tblHistory[[#This Row],[DTCR S]]+Dashboard!$C$17*tblHistory[[#This Row],[BBB S]]+Dashboard!$C$18*tblHistory[[#This Row],[CCC S]])/(Dashboard!$C$16+Dashboard!$C$17+Dashboard!$C$18)*100</f>
        <v/>
      </c>
      <c r="V189" s="46">
        <f>(Dashboard!$C$19*tblHistory[[#This Row],[BIZD S]]+Dashboard!$C$20*tblHistory[[#This Row],[BKLN S]]+Dashboard!$C$21*tblHistory[[#This Row],[HY S]])/(Dashboard!$C$19+Dashboard!$C$20+Dashboard!$C$21)*100</f>
        <v/>
      </c>
      <c r="W18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89" s="46">
        <f>IFERROR(--(tblHistory[[#This Row],[Score]]&gt;=50),0)</f>
        <v/>
      </c>
      <c r="Y189" s="46">
        <f>IFERROR(--AND(tblHistory[[#This Row],[Score]]&gt;=60,OR(AND(tblHistory[[#This Row],[BIZD S]]&gt;=0.8,tblHistory[[#This Row],[BKLN S]]&gt;=0.5),tblHistory[[#This Row],[CCC S]]&gt;=0.8)),0)</f>
        <v/>
      </c>
      <c r="Z189" s="46">
        <f>IFERROR(--AND(tblHistory[[#This Row],[Score]]&gt;=70,tblHistory[[#This Row],[SOX S]]&gt;=0.83,tblHistory[[#This Row],[AIQ S]]&gt;=0.8),0)</f>
        <v/>
      </c>
      <c r="AA18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8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8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8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8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0">
      <c r="A190" s="42" t="n">
        <v>46052</v>
      </c>
      <c r="B190" s="43" t="n">
        <v>25552.3906</v>
      </c>
      <c r="C190" s="43" t="n">
        <v>7998.4702</v>
      </c>
      <c r="D190" s="43" t="n">
        <v>51.97</v>
      </c>
      <c r="E190" s="43" t="n">
        <v>24.3807</v>
      </c>
      <c r="F190" s="44" t="n">
        <v>94</v>
      </c>
      <c r="G190" s="44" t="n">
        <v>855</v>
      </c>
      <c r="H190" s="43" t="n">
        <v>12.7703</v>
      </c>
      <c r="I190" s="43" t="n">
        <v>19.775</v>
      </c>
      <c r="J190" s="44" t="n">
        <v>280</v>
      </c>
      <c r="K19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0" s="46">
        <f>(Dashboard!$C$13*tblHistory[[#This Row],[NDX S]]+Dashboard!$C$14*tblHistory[[#This Row],[SOX S]]+Dashboard!$C$15*tblHistory[[#This Row],[AIQ S]])/(Dashboard!$C$13+Dashboard!$C$14+Dashboard!$C$15)*100</f>
        <v/>
      </c>
      <c r="U190" s="46">
        <f>(Dashboard!$C$16*tblHistory[[#This Row],[DTCR S]]+Dashboard!$C$17*tblHistory[[#This Row],[BBB S]]+Dashboard!$C$18*tblHistory[[#This Row],[CCC S]])/(Dashboard!$C$16+Dashboard!$C$17+Dashboard!$C$18)*100</f>
        <v/>
      </c>
      <c r="V190" s="46">
        <f>(Dashboard!$C$19*tblHistory[[#This Row],[BIZD S]]+Dashboard!$C$20*tblHistory[[#This Row],[BKLN S]]+Dashboard!$C$21*tblHistory[[#This Row],[HY S]])/(Dashboard!$C$19+Dashboard!$C$20+Dashboard!$C$21)*100</f>
        <v/>
      </c>
      <c r="W19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0" s="46">
        <f>IFERROR(--(tblHistory[[#This Row],[Score]]&gt;=50),0)</f>
        <v/>
      </c>
      <c r="Y190" s="46">
        <f>IFERROR(--AND(tblHistory[[#This Row],[Score]]&gt;=60,OR(AND(tblHistory[[#This Row],[BIZD S]]&gt;=0.8,tblHistory[[#This Row],[BKLN S]]&gt;=0.5),tblHistory[[#This Row],[CCC S]]&gt;=0.8)),0)</f>
        <v/>
      </c>
      <c r="Z190" s="46">
        <f>IFERROR(--AND(tblHistory[[#This Row],[Score]]&gt;=70,tblHistory[[#This Row],[SOX S]]&gt;=0.83,tblHistory[[#This Row],[AIQ S]]&gt;=0.8),0)</f>
        <v/>
      </c>
      <c r="AA19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1">
      <c r="A191" s="42" t="n">
        <v>46051</v>
      </c>
      <c r="B191" s="43" t="n">
        <v>25884.3008</v>
      </c>
      <c r="C191" s="43" t="n">
        <v>8320.3896</v>
      </c>
      <c r="D191" s="43" t="n">
        <v>53.03</v>
      </c>
      <c r="E191" s="43" t="n">
        <v>25.0283</v>
      </c>
      <c r="F191" s="44" t="n">
        <v>94</v>
      </c>
      <c r="G191" s="44" t="n">
        <v>854</v>
      </c>
      <c r="H191" s="43" t="n">
        <v>12.898</v>
      </c>
      <c r="I191" s="43" t="n">
        <v>19.7654</v>
      </c>
      <c r="J191" s="44" t="n">
        <v>277</v>
      </c>
      <c r="K19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1" s="46">
        <f>(Dashboard!$C$13*tblHistory[[#This Row],[NDX S]]+Dashboard!$C$14*tblHistory[[#This Row],[SOX S]]+Dashboard!$C$15*tblHistory[[#This Row],[AIQ S]])/(Dashboard!$C$13+Dashboard!$C$14+Dashboard!$C$15)*100</f>
        <v/>
      </c>
      <c r="U191" s="46">
        <f>(Dashboard!$C$16*tblHistory[[#This Row],[DTCR S]]+Dashboard!$C$17*tblHistory[[#This Row],[BBB S]]+Dashboard!$C$18*tblHistory[[#This Row],[CCC S]])/(Dashboard!$C$16+Dashboard!$C$17+Dashboard!$C$18)*100</f>
        <v/>
      </c>
      <c r="V191" s="46">
        <f>(Dashboard!$C$19*tblHistory[[#This Row],[BIZD S]]+Dashboard!$C$20*tblHistory[[#This Row],[BKLN S]]+Dashboard!$C$21*tblHistory[[#This Row],[HY S]])/(Dashboard!$C$19+Dashboard!$C$20+Dashboard!$C$21)*100</f>
        <v/>
      </c>
      <c r="W19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1" s="46">
        <f>IFERROR(--(tblHistory[[#This Row],[Score]]&gt;=50),0)</f>
        <v/>
      </c>
      <c r="Y191" s="46">
        <f>IFERROR(--AND(tblHistory[[#This Row],[Score]]&gt;=60,OR(AND(tblHistory[[#This Row],[BIZD S]]&gt;=0.8,tblHistory[[#This Row],[BKLN S]]&gt;=0.5),tblHistory[[#This Row],[CCC S]]&gt;=0.8)),0)</f>
        <v/>
      </c>
      <c r="Z191" s="46">
        <f>IFERROR(--AND(tblHistory[[#This Row],[Score]]&gt;=70,tblHistory[[#This Row],[SOX S]]&gt;=0.83,tblHistory[[#This Row],[AIQ S]]&gt;=0.8),0)</f>
        <v/>
      </c>
      <c r="AA19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2">
      <c r="A192" s="42" t="n">
        <v>46050</v>
      </c>
      <c r="B192" s="43" t="n">
        <v>26022.7891</v>
      </c>
      <c r="C192" s="43" t="n">
        <v>8306.7402</v>
      </c>
      <c r="D192" s="43" t="n">
        <v>53.61</v>
      </c>
      <c r="E192" s="43" t="n">
        <v>25.1578</v>
      </c>
      <c r="F192" s="44" t="n">
        <v>93</v>
      </c>
      <c r="G192" s="44" t="n">
        <v>838</v>
      </c>
      <c r="H192" s="43" t="n">
        <v>12.8798</v>
      </c>
      <c r="I192" s="43" t="n">
        <v>19.8322</v>
      </c>
      <c r="J192" s="44" t="n">
        <v>272</v>
      </c>
      <c r="K19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2" s="46">
        <f>(Dashboard!$C$13*tblHistory[[#This Row],[NDX S]]+Dashboard!$C$14*tblHistory[[#This Row],[SOX S]]+Dashboard!$C$15*tblHistory[[#This Row],[AIQ S]])/(Dashboard!$C$13+Dashboard!$C$14+Dashboard!$C$15)*100</f>
        <v/>
      </c>
      <c r="U192" s="46">
        <f>(Dashboard!$C$16*tblHistory[[#This Row],[DTCR S]]+Dashboard!$C$17*tblHistory[[#This Row],[BBB S]]+Dashboard!$C$18*tblHistory[[#This Row],[CCC S]])/(Dashboard!$C$16+Dashboard!$C$17+Dashboard!$C$18)*100</f>
        <v/>
      </c>
      <c r="V192" s="46">
        <f>(Dashboard!$C$19*tblHistory[[#This Row],[BIZD S]]+Dashboard!$C$20*tblHistory[[#This Row],[BKLN S]]+Dashboard!$C$21*tblHistory[[#This Row],[HY S]])/(Dashboard!$C$19+Dashboard!$C$20+Dashboard!$C$21)*100</f>
        <v/>
      </c>
      <c r="W19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2" s="46">
        <f>IFERROR(--(tblHistory[[#This Row],[Score]]&gt;=50),0)</f>
        <v/>
      </c>
      <c r="Y192" s="46">
        <f>IFERROR(--AND(tblHistory[[#This Row],[Score]]&gt;=60,OR(AND(tblHistory[[#This Row],[BIZD S]]&gt;=0.8,tblHistory[[#This Row],[BKLN S]]&gt;=0.5),tblHistory[[#This Row],[CCC S]]&gt;=0.8)),0)</f>
        <v/>
      </c>
      <c r="Z192" s="46">
        <f>IFERROR(--AND(tblHistory[[#This Row],[Score]]&gt;=70,tblHistory[[#This Row],[SOX S]]&gt;=0.83,tblHistory[[#This Row],[AIQ S]]&gt;=0.8),0)</f>
        <v/>
      </c>
      <c r="AA19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3">
      <c r="A193" s="42" t="n">
        <v>46049</v>
      </c>
      <c r="B193" s="43" t="n">
        <v>25939.7402</v>
      </c>
      <c r="C193" s="43" t="n">
        <v>8117.1802</v>
      </c>
      <c r="D193" s="43" t="n">
        <v>53.11</v>
      </c>
      <c r="E193" s="43" t="n">
        <v>24.6895</v>
      </c>
      <c r="F193" s="44" t="n">
        <v>94</v>
      </c>
      <c r="G193" s="44" t="n">
        <v>846</v>
      </c>
      <c r="H193" s="43" t="n">
        <v>12.9801</v>
      </c>
      <c r="I193" s="43" t="n">
        <v>19.8513</v>
      </c>
      <c r="J193" s="44" t="n">
        <v>271</v>
      </c>
      <c r="K19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3" s="46">
        <f>(Dashboard!$C$13*tblHistory[[#This Row],[NDX S]]+Dashboard!$C$14*tblHistory[[#This Row],[SOX S]]+Dashboard!$C$15*tblHistory[[#This Row],[AIQ S]])/(Dashboard!$C$13+Dashboard!$C$14+Dashboard!$C$15)*100</f>
        <v/>
      </c>
      <c r="U193" s="46">
        <f>(Dashboard!$C$16*tblHistory[[#This Row],[DTCR S]]+Dashboard!$C$17*tblHistory[[#This Row],[BBB S]]+Dashboard!$C$18*tblHistory[[#This Row],[CCC S]])/(Dashboard!$C$16+Dashboard!$C$17+Dashboard!$C$18)*100</f>
        <v/>
      </c>
      <c r="V193" s="46">
        <f>(Dashboard!$C$19*tblHistory[[#This Row],[BIZD S]]+Dashboard!$C$20*tblHistory[[#This Row],[BKLN S]]+Dashboard!$C$21*tblHistory[[#This Row],[HY S]])/(Dashboard!$C$19+Dashboard!$C$20+Dashboard!$C$21)*100</f>
        <v/>
      </c>
      <c r="W19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3" s="46">
        <f>IFERROR(--(tblHistory[[#This Row],[Score]]&gt;=50),0)</f>
        <v/>
      </c>
      <c r="Y193" s="46">
        <f>IFERROR(--AND(tblHistory[[#This Row],[Score]]&gt;=60,OR(AND(tblHistory[[#This Row],[BIZD S]]&gt;=0.8,tblHistory[[#This Row],[BKLN S]]&gt;=0.5),tblHistory[[#This Row],[CCC S]]&gt;=0.8)),0)</f>
        <v/>
      </c>
      <c r="Z193" s="46">
        <f>IFERROR(--AND(tblHistory[[#This Row],[Score]]&gt;=70,tblHistory[[#This Row],[SOX S]]&gt;=0.83,tblHistory[[#This Row],[AIQ S]]&gt;=0.8),0)</f>
        <v/>
      </c>
      <c r="AA19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4">
      <c r="A194" s="42" t="n">
        <v>46048</v>
      </c>
      <c r="B194" s="43" t="n">
        <v>25713.2109</v>
      </c>
      <c r="C194" s="43" t="n">
        <v>7927.04</v>
      </c>
      <c r="D194" s="43" t="n">
        <v>52.43</v>
      </c>
      <c r="E194" s="43" t="n">
        <v>24.022</v>
      </c>
      <c r="F194" s="44" t="n">
        <v>94</v>
      </c>
      <c r="G194" s="44" t="n">
        <v>852</v>
      </c>
      <c r="H194" s="43" t="n">
        <v>12.9619</v>
      </c>
      <c r="I194" s="43" t="n">
        <v>19.8703</v>
      </c>
      <c r="J194" s="44" t="n">
        <v>269</v>
      </c>
      <c r="K19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4" s="46">
        <f>(Dashboard!$C$13*tblHistory[[#This Row],[NDX S]]+Dashboard!$C$14*tblHistory[[#This Row],[SOX S]]+Dashboard!$C$15*tblHistory[[#This Row],[AIQ S]])/(Dashboard!$C$13+Dashboard!$C$14+Dashboard!$C$15)*100</f>
        <v/>
      </c>
      <c r="U194" s="46">
        <f>(Dashboard!$C$16*tblHistory[[#This Row],[DTCR S]]+Dashboard!$C$17*tblHistory[[#This Row],[BBB S]]+Dashboard!$C$18*tblHistory[[#This Row],[CCC S]])/(Dashboard!$C$16+Dashboard!$C$17+Dashboard!$C$18)*100</f>
        <v/>
      </c>
      <c r="V194" s="46">
        <f>(Dashboard!$C$19*tblHistory[[#This Row],[BIZD S]]+Dashboard!$C$20*tblHistory[[#This Row],[BKLN S]]+Dashboard!$C$21*tblHistory[[#This Row],[HY S]])/(Dashboard!$C$19+Dashboard!$C$20+Dashboard!$C$21)*100</f>
        <v/>
      </c>
      <c r="W19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4" s="46">
        <f>IFERROR(--(tblHistory[[#This Row],[Score]]&gt;=50),0)</f>
        <v/>
      </c>
      <c r="Y194" s="46">
        <f>IFERROR(--AND(tblHistory[[#This Row],[Score]]&gt;=60,OR(AND(tblHistory[[#This Row],[BIZD S]]&gt;=0.8,tblHistory[[#This Row],[BKLN S]]&gt;=0.5),tblHistory[[#This Row],[CCC S]]&gt;=0.8)),0)</f>
        <v/>
      </c>
      <c r="Z194" s="46">
        <f>IFERROR(--AND(tblHistory[[#This Row],[Score]]&gt;=70,tblHistory[[#This Row],[SOX S]]&gt;=0.83,tblHistory[[#This Row],[AIQ S]]&gt;=0.8),0)</f>
        <v/>
      </c>
      <c r="AA19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5">
      <c r="A195" s="42" t="n">
        <v>46045</v>
      </c>
      <c r="B195" s="43" t="n">
        <v>25605.4707</v>
      </c>
      <c r="C195" s="43" t="n">
        <v>7957.9302</v>
      </c>
      <c r="D195" s="43" t="n">
        <v>52.51</v>
      </c>
      <c r="E195" s="43" t="n">
        <v>23.733</v>
      </c>
      <c r="F195" s="44" t="n">
        <v>94</v>
      </c>
      <c r="G195" s="44" t="n">
        <v>849</v>
      </c>
      <c r="H195" s="43" t="n">
        <v>13.1352</v>
      </c>
      <c r="I195" s="43" t="n">
        <v>19.9085</v>
      </c>
      <c r="J195" s="44" t="n">
        <v>268</v>
      </c>
      <c r="K19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5" s="46">
        <f>(Dashboard!$C$13*tblHistory[[#This Row],[NDX S]]+Dashboard!$C$14*tblHistory[[#This Row],[SOX S]]+Dashboard!$C$15*tblHistory[[#This Row],[AIQ S]])/(Dashboard!$C$13+Dashboard!$C$14+Dashboard!$C$15)*100</f>
        <v/>
      </c>
      <c r="U195" s="46">
        <f>(Dashboard!$C$16*tblHistory[[#This Row],[DTCR S]]+Dashboard!$C$17*tblHistory[[#This Row],[BBB S]]+Dashboard!$C$18*tblHistory[[#This Row],[CCC S]])/(Dashboard!$C$16+Dashboard!$C$17+Dashboard!$C$18)*100</f>
        <v/>
      </c>
      <c r="V195" s="46">
        <f>(Dashboard!$C$19*tblHistory[[#This Row],[BIZD S]]+Dashboard!$C$20*tblHistory[[#This Row],[BKLN S]]+Dashboard!$C$21*tblHistory[[#This Row],[HY S]])/(Dashboard!$C$19+Dashboard!$C$20+Dashboard!$C$21)*100</f>
        <v/>
      </c>
      <c r="W19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5" s="46">
        <f>IFERROR(--(tblHistory[[#This Row],[Score]]&gt;=50),0)</f>
        <v/>
      </c>
      <c r="Y195" s="46">
        <f>IFERROR(--AND(tblHistory[[#This Row],[Score]]&gt;=60,OR(AND(tblHistory[[#This Row],[BIZD S]]&gt;=0.8,tblHistory[[#This Row],[BKLN S]]&gt;=0.5),tblHistory[[#This Row],[CCC S]]&gt;=0.8)),0)</f>
        <v/>
      </c>
      <c r="Z195" s="46">
        <f>IFERROR(--AND(tblHistory[[#This Row],[Score]]&gt;=70,tblHistory[[#This Row],[SOX S]]&gt;=0.83,tblHistory[[#This Row],[AIQ S]]&gt;=0.8),0)</f>
        <v/>
      </c>
      <c r="AA19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6">
      <c r="A196" s="42" t="n">
        <v>46044</v>
      </c>
      <c r="B196" s="43" t="n">
        <v>25518.3496</v>
      </c>
      <c r="C196" s="43" t="n">
        <v>8055.1699</v>
      </c>
      <c r="D196" s="43" t="n">
        <v>52.45</v>
      </c>
      <c r="E196" s="43" t="n">
        <v>23.6533</v>
      </c>
      <c r="F196" s="44" t="n">
        <v>93</v>
      </c>
      <c r="G196" s="44" t="n">
        <v>843</v>
      </c>
      <c r="H196" s="43" t="n">
        <v>13.2264</v>
      </c>
      <c r="I196" s="43" t="n">
        <v>19.9275</v>
      </c>
      <c r="J196" s="44" t="n">
        <v>264</v>
      </c>
      <c r="K19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6" s="46">
        <f>(Dashboard!$C$13*tblHistory[[#This Row],[NDX S]]+Dashboard!$C$14*tblHistory[[#This Row],[SOX S]]+Dashboard!$C$15*tblHistory[[#This Row],[AIQ S]])/(Dashboard!$C$13+Dashboard!$C$14+Dashboard!$C$15)*100</f>
        <v/>
      </c>
      <c r="U196" s="46">
        <f>(Dashboard!$C$16*tblHistory[[#This Row],[DTCR S]]+Dashboard!$C$17*tblHistory[[#This Row],[BBB S]]+Dashboard!$C$18*tblHistory[[#This Row],[CCC S]])/(Dashboard!$C$16+Dashboard!$C$17+Dashboard!$C$18)*100</f>
        <v/>
      </c>
      <c r="V196" s="46">
        <f>(Dashboard!$C$19*tblHistory[[#This Row],[BIZD S]]+Dashboard!$C$20*tblHistory[[#This Row],[BKLN S]]+Dashboard!$C$21*tblHistory[[#This Row],[HY S]])/(Dashboard!$C$19+Dashboard!$C$20+Dashboard!$C$21)*100</f>
        <v/>
      </c>
      <c r="W19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6" s="46">
        <f>IFERROR(--(tblHistory[[#This Row],[Score]]&gt;=50),0)</f>
        <v/>
      </c>
      <c r="Y196" s="46">
        <f>IFERROR(--AND(tblHistory[[#This Row],[Score]]&gt;=60,OR(AND(tblHistory[[#This Row],[BIZD S]]&gt;=0.8,tblHistory[[#This Row],[BKLN S]]&gt;=0.5),tblHistory[[#This Row],[CCC S]]&gt;=0.8)),0)</f>
        <v/>
      </c>
      <c r="Z196" s="46">
        <f>IFERROR(--AND(tblHistory[[#This Row],[Score]]&gt;=70,tblHistory[[#This Row],[SOX S]]&gt;=0.83,tblHistory[[#This Row],[AIQ S]]&gt;=0.8),0)</f>
        <v/>
      </c>
      <c r="AA19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7">
      <c r="A197" s="42" t="n">
        <v>46043</v>
      </c>
      <c r="B197" s="43" t="n">
        <v>25326.5801</v>
      </c>
      <c r="C197" s="43" t="n">
        <v>8042.0698</v>
      </c>
      <c r="D197" s="43" t="n">
        <v>51.9</v>
      </c>
      <c r="E197" s="43" t="n">
        <v>23.5437</v>
      </c>
      <c r="F197" s="44" t="n">
        <v>95</v>
      </c>
      <c r="G197" s="44" t="n">
        <v>855</v>
      </c>
      <c r="H197" s="43" t="n">
        <v>13.2264</v>
      </c>
      <c r="I197" s="43" t="n">
        <v>19.9085</v>
      </c>
      <c r="J197" s="44" t="n">
        <v>269</v>
      </c>
      <c r="K19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7" s="46">
        <f>(Dashboard!$C$13*tblHistory[[#This Row],[NDX S]]+Dashboard!$C$14*tblHistory[[#This Row],[SOX S]]+Dashboard!$C$15*tblHistory[[#This Row],[AIQ S]])/(Dashboard!$C$13+Dashboard!$C$14+Dashboard!$C$15)*100</f>
        <v/>
      </c>
      <c r="U197" s="46">
        <f>(Dashboard!$C$16*tblHistory[[#This Row],[DTCR S]]+Dashboard!$C$17*tblHistory[[#This Row],[BBB S]]+Dashboard!$C$18*tblHistory[[#This Row],[CCC S]])/(Dashboard!$C$16+Dashboard!$C$17+Dashboard!$C$18)*100</f>
        <v/>
      </c>
      <c r="V197" s="46">
        <f>(Dashboard!$C$19*tblHistory[[#This Row],[BIZD S]]+Dashboard!$C$20*tblHistory[[#This Row],[BKLN S]]+Dashboard!$C$21*tblHistory[[#This Row],[HY S]])/(Dashboard!$C$19+Dashboard!$C$20+Dashboard!$C$21)*100</f>
        <v/>
      </c>
      <c r="W19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7" s="46">
        <f>IFERROR(--(tblHistory[[#This Row],[Score]]&gt;=50),0)</f>
        <v/>
      </c>
      <c r="Y197" s="46">
        <f>IFERROR(--AND(tblHistory[[#This Row],[Score]]&gt;=60,OR(AND(tblHistory[[#This Row],[BIZD S]]&gt;=0.8,tblHistory[[#This Row],[BKLN S]]&gt;=0.5),tblHistory[[#This Row],[CCC S]]&gt;=0.8)),0)</f>
        <v/>
      </c>
      <c r="Z197" s="46">
        <f>IFERROR(--AND(tblHistory[[#This Row],[Score]]&gt;=70,tblHistory[[#This Row],[SOX S]]&gt;=0.83,tblHistory[[#This Row],[AIQ S]]&gt;=0.8),0)</f>
        <v/>
      </c>
      <c r="AA19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8">
      <c r="A198" s="42" t="n">
        <v>46042</v>
      </c>
      <c r="B198" s="43" t="n">
        <v>24987.5703</v>
      </c>
      <c r="C198" s="43" t="n">
        <v>7794.1899</v>
      </c>
      <c r="D198" s="43" t="n">
        <v>50.94</v>
      </c>
      <c r="E198" s="43" t="n">
        <v>23.2249</v>
      </c>
      <c r="F198" s="44" t="n">
        <v>96</v>
      </c>
      <c r="G198" s="44" t="n">
        <v>864</v>
      </c>
      <c r="H198" s="43" t="n">
        <v>13.0713</v>
      </c>
      <c r="I198" s="43" t="n">
        <v>19.9466</v>
      </c>
      <c r="J198" s="44" t="n">
        <v>273</v>
      </c>
      <c r="K19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8" s="46">
        <f>(Dashboard!$C$13*tblHistory[[#This Row],[NDX S]]+Dashboard!$C$14*tblHistory[[#This Row],[SOX S]]+Dashboard!$C$15*tblHistory[[#This Row],[AIQ S]])/(Dashboard!$C$13+Dashboard!$C$14+Dashboard!$C$15)*100</f>
        <v/>
      </c>
      <c r="U198" s="46">
        <f>(Dashboard!$C$16*tblHistory[[#This Row],[DTCR S]]+Dashboard!$C$17*tblHistory[[#This Row],[BBB S]]+Dashboard!$C$18*tblHistory[[#This Row],[CCC S]])/(Dashboard!$C$16+Dashboard!$C$17+Dashboard!$C$18)*100</f>
        <v/>
      </c>
      <c r="V198" s="46">
        <f>(Dashboard!$C$19*tblHistory[[#This Row],[BIZD S]]+Dashboard!$C$20*tblHistory[[#This Row],[BKLN S]]+Dashboard!$C$21*tblHistory[[#This Row],[HY S]])/(Dashboard!$C$19+Dashboard!$C$20+Dashboard!$C$21)*100</f>
        <v/>
      </c>
      <c r="W19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8" s="46">
        <f>IFERROR(--(tblHistory[[#This Row],[Score]]&gt;=50),0)</f>
        <v/>
      </c>
      <c r="Y198" s="46">
        <f>IFERROR(--AND(tblHistory[[#This Row],[Score]]&gt;=60,OR(AND(tblHistory[[#This Row],[BIZD S]]&gt;=0.8,tblHistory[[#This Row],[BKLN S]]&gt;=0.5),tblHistory[[#This Row],[CCC S]]&gt;=0.8)),0)</f>
        <v/>
      </c>
      <c r="Z198" s="46">
        <f>IFERROR(--AND(tblHistory[[#This Row],[Score]]&gt;=70,tblHistory[[#This Row],[SOX S]]&gt;=0.83,tblHistory[[#This Row],[AIQ S]]&gt;=0.8),0)</f>
        <v/>
      </c>
      <c r="AA19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199">
      <c r="A199" s="42" t="n">
        <v>46038</v>
      </c>
      <c r="B199" s="43" t="n">
        <v>25529.2598</v>
      </c>
      <c r="C199" s="43" t="n">
        <v>7927.4102</v>
      </c>
      <c r="D199" s="43" t="n">
        <v>52.34</v>
      </c>
      <c r="E199" s="43" t="n">
        <v>23.7131</v>
      </c>
      <c r="F199" s="44" t="n">
        <v>96</v>
      </c>
      <c r="G199" s="44" t="n">
        <v>852</v>
      </c>
      <c r="H199" s="43" t="n">
        <v>13.2538</v>
      </c>
      <c r="I199" s="43" t="n">
        <v>19.9771</v>
      </c>
      <c r="J199" s="44" t="n">
        <v>265</v>
      </c>
      <c r="K19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19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19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19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19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19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19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19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19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199" s="46">
        <f>(Dashboard!$C$13*tblHistory[[#This Row],[NDX S]]+Dashboard!$C$14*tblHistory[[#This Row],[SOX S]]+Dashboard!$C$15*tblHistory[[#This Row],[AIQ S]])/(Dashboard!$C$13+Dashboard!$C$14+Dashboard!$C$15)*100</f>
        <v/>
      </c>
      <c r="U199" s="46">
        <f>(Dashboard!$C$16*tblHistory[[#This Row],[DTCR S]]+Dashboard!$C$17*tblHistory[[#This Row],[BBB S]]+Dashboard!$C$18*tblHistory[[#This Row],[CCC S]])/(Dashboard!$C$16+Dashboard!$C$17+Dashboard!$C$18)*100</f>
        <v/>
      </c>
      <c r="V199" s="46">
        <f>(Dashboard!$C$19*tblHistory[[#This Row],[BIZD S]]+Dashboard!$C$20*tblHistory[[#This Row],[BKLN S]]+Dashboard!$C$21*tblHistory[[#This Row],[HY S]])/(Dashboard!$C$19+Dashboard!$C$20+Dashboard!$C$21)*100</f>
        <v/>
      </c>
      <c r="W19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199" s="46">
        <f>IFERROR(--(tblHistory[[#This Row],[Score]]&gt;=50),0)</f>
        <v/>
      </c>
      <c r="Y199" s="46">
        <f>IFERROR(--AND(tblHistory[[#This Row],[Score]]&gt;=60,OR(AND(tblHistory[[#This Row],[BIZD S]]&gt;=0.8,tblHistory[[#This Row],[BKLN S]]&gt;=0.5),tblHistory[[#This Row],[CCC S]]&gt;=0.8)),0)</f>
        <v/>
      </c>
      <c r="Z199" s="46">
        <f>IFERROR(--AND(tblHistory[[#This Row],[Score]]&gt;=70,tblHistory[[#This Row],[SOX S]]&gt;=0.83,tblHistory[[#This Row],[AIQ S]]&gt;=0.8),0)</f>
        <v/>
      </c>
      <c r="AA19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19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19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19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19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0">
      <c r="A200" s="42" t="n">
        <v>46037</v>
      </c>
      <c r="B200" s="43" t="n">
        <v>25547.0703</v>
      </c>
      <c r="C200" s="43" t="n">
        <v>7837.2998</v>
      </c>
      <c r="D200" s="43" t="n">
        <v>52.36</v>
      </c>
      <c r="E200" s="43" t="n">
        <v>23.4042</v>
      </c>
      <c r="F200" s="44" t="n">
        <v>97</v>
      </c>
      <c r="G200" s="44" t="n">
        <v>856</v>
      </c>
      <c r="H200" s="43" t="n">
        <v>13.3176</v>
      </c>
      <c r="I200" s="43" t="n">
        <v>19.9581</v>
      </c>
      <c r="J200" s="44" t="n">
        <v>271</v>
      </c>
      <c r="K20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0" s="46">
        <f>(Dashboard!$C$13*tblHistory[[#This Row],[NDX S]]+Dashboard!$C$14*tblHistory[[#This Row],[SOX S]]+Dashboard!$C$15*tblHistory[[#This Row],[AIQ S]])/(Dashboard!$C$13+Dashboard!$C$14+Dashboard!$C$15)*100</f>
        <v/>
      </c>
      <c r="U200" s="46">
        <f>(Dashboard!$C$16*tblHistory[[#This Row],[DTCR S]]+Dashboard!$C$17*tblHistory[[#This Row],[BBB S]]+Dashboard!$C$18*tblHistory[[#This Row],[CCC S]])/(Dashboard!$C$16+Dashboard!$C$17+Dashboard!$C$18)*100</f>
        <v/>
      </c>
      <c r="V200" s="46">
        <f>(Dashboard!$C$19*tblHistory[[#This Row],[BIZD S]]+Dashboard!$C$20*tblHistory[[#This Row],[BKLN S]]+Dashboard!$C$21*tblHistory[[#This Row],[HY S]])/(Dashboard!$C$19+Dashboard!$C$20+Dashboard!$C$21)*100</f>
        <v/>
      </c>
      <c r="W20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0" s="46">
        <f>IFERROR(--(tblHistory[[#This Row],[Score]]&gt;=50),0)</f>
        <v/>
      </c>
      <c r="Y200" s="46">
        <f>IFERROR(--AND(tblHistory[[#This Row],[Score]]&gt;=60,OR(AND(tblHistory[[#This Row],[BIZD S]]&gt;=0.8,tblHistory[[#This Row],[BKLN S]]&gt;=0.5),tblHistory[[#This Row],[CCC S]]&gt;=0.8)),0)</f>
        <v/>
      </c>
      <c r="Z200" s="46">
        <f>IFERROR(--AND(tblHistory[[#This Row],[Score]]&gt;=70,tblHistory[[#This Row],[SOX S]]&gt;=0.83,tblHistory[[#This Row],[AIQ S]]&gt;=0.8),0)</f>
        <v/>
      </c>
      <c r="AA20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1">
      <c r="A201" s="42" t="n">
        <v>46036</v>
      </c>
      <c r="B201" s="43" t="n">
        <v>25465.9395</v>
      </c>
      <c r="C201" s="43" t="n">
        <v>7701.4702</v>
      </c>
      <c r="D201" s="43" t="n">
        <v>52.28</v>
      </c>
      <c r="E201" s="43" t="n">
        <v>23.3445</v>
      </c>
      <c r="F201" s="44" t="n">
        <v>98</v>
      </c>
      <c r="G201" s="44" t="n">
        <v>863</v>
      </c>
      <c r="H201" s="43" t="n">
        <v>13.1991</v>
      </c>
      <c r="I201" s="43" t="n">
        <v>19.9581</v>
      </c>
      <c r="J201" s="44" t="n">
        <v>276</v>
      </c>
      <c r="K20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1" s="46">
        <f>(Dashboard!$C$13*tblHistory[[#This Row],[NDX S]]+Dashboard!$C$14*tblHistory[[#This Row],[SOX S]]+Dashboard!$C$15*tblHistory[[#This Row],[AIQ S]])/(Dashboard!$C$13+Dashboard!$C$14+Dashboard!$C$15)*100</f>
        <v/>
      </c>
      <c r="U201" s="46">
        <f>(Dashboard!$C$16*tblHistory[[#This Row],[DTCR S]]+Dashboard!$C$17*tblHistory[[#This Row],[BBB S]]+Dashboard!$C$18*tblHistory[[#This Row],[CCC S]])/(Dashboard!$C$16+Dashboard!$C$17+Dashboard!$C$18)*100</f>
        <v/>
      </c>
      <c r="V201" s="46">
        <f>(Dashboard!$C$19*tblHistory[[#This Row],[BIZD S]]+Dashboard!$C$20*tblHistory[[#This Row],[BKLN S]]+Dashboard!$C$21*tblHistory[[#This Row],[HY S]])/(Dashboard!$C$19+Dashboard!$C$20+Dashboard!$C$21)*100</f>
        <v/>
      </c>
      <c r="W20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1" s="46">
        <f>IFERROR(--(tblHistory[[#This Row],[Score]]&gt;=50),0)</f>
        <v/>
      </c>
      <c r="Y201" s="46">
        <f>IFERROR(--AND(tblHistory[[#This Row],[Score]]&gt;=60,OR(AND(tblHistory[[#This Row],[BIZD S]]&gt;=0.8,tblHistory[[#This Row],[BKLN S]]&gt;=0.5),tblHistory[[#This Row],[CCC S]]&gt;=0.8)),0)</f>
        <v/>
      </c>
      <c r="Z201" s="46">
        <f>IFERROR(--AND(tblHistory[[#This Row],[Score]]&gt;=70,tblHistory[[#This Row],[SOX S]]&gt;=0.83,tblHistory[[#This Row],[AIQ S]]&gt;=0.8),0)</f>
        <v/>
      </c>
      <c r="AA20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2">
      <c r="A202" s="42" t="n">
        <v>46035</v>
      </c>
      <c r="B202" s="43" t="n">
        <v>25741.9492</v>
      </c>
      <c r="C202" s="43" t="n">
        <v>7747.9902</v>
      </c>
      <c r="D202" s="43" t="n">
        <v>52.64</v>
      </c>
      <c r="E202" s="43" t="n">
        <v>23.2349</v>
      </c>
      <c r="F202" s="44" t="n">
        <v>98</v>
      </c>
      <c r="G202" s="44" t="n">
        <v>864</v>
      </c>
      <c r="H202" s="43" t="n">
        <v>12.9801</v>
      </c>
      <c r="I202" s="43" t="n">
        <v>19.9771</v>
      </c>
      <c r="J202" s="44" t="n">
        <v>275</v>
      </c>
      <c r="K20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2" s="46">
        <f>(Dashboard!$C$13*tblHistory[[#This Row],[NDX S]]+Dashboard!$C$14*tblHistory[[#This Row],[SOX S]]+Dashboard!$C$15*tblHistory[[#This Row],[AIQ S]])/(Dashboard!$C$13+Dashboard!$C$14+Dashboard!$C$15)*100</f>
        <v/>
      </c>
      <c r="U202" s="46">
        <f>(Dashboard!$C$16*tblHistory[[#This Row],[DTCR S]]+Dashboard!$C$17*tblHistory[[#This Row],[BBB S]]+Dashboard!$C$18*tblHistory[[#This Row],[CCC S]])/(Dashboard!$C$16+Dashboard!$C$17+Dashboard!$C$18)*100</f>
        <v/>
      </c>
      <c r="V202" s="46">
        <f>(Dashboard!$C$19*tblHistory[[#This Row],[BIZD S]]+Dashboard!$C$20*tblHistory[[#This Row],[BKLN S]]+Dashboard!$C$21*tblHistory[[#This Row],[HY S]])/(Dashboard!$C$19+Dashboard!$C$20+Dashboard!$C$21)*100</f>
        <v/>
      </c>
      <c r="W20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2" s="46">
        <f>IFERROR(--(tblHistory[[#This Row],[Score]]&gt;=50),0)</f>
        <v/>
      </c>
      <c r="Y202" s="46">
        <f>IFERROR(--AND(tblHistory[[#This Row],[Score]]&gt;=60,OR(AND(tblHistory[[#This Row],[BIZD S]]&gt;=0.8,tblHistory[[#This Row],[BKLN S]]&gt;=0.5),tblHistory[[#This Row],[CCC S]]&gt;=0.8)),0)</f>
        <v/>
      </c>
      <c r="Z202" s="46">
        <f>IFERROR(--AND(tblHistory[[#This Row],[Score]]&gt;=70,tblHistory[[#This Row],[SOX S]]&gt;=0.83,tblHistory[[#This Row],[AIQ S]]&gt;=0.8),0)</f>
        <v/>
      </c>
      <c r="AA20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3">
      <c r="A203" s="42" t="n">
        <v>46034</v>
      </c>
      <c r="B203" s="43" t="n">
        <v>25787.6602</v>
      </c>
      <c r="C203" s="43" t="n">
        <v>7674.8398</v>
      </c>
      <c r="D203" s="43" t="n">
        <v>53.15</v>
      </c>
      <c r="E203" s="43" t="n">
        <v>23.3544</v>
      </c>
      <c r="F203" s="44" t="n">
        <v>99</v>
      </c>
      <c r="G203" s="44" t="n">
        <v>864</v>
      </c>
      <c r="H203" s="43" t="n">
        <v>13.0622</v>
      </c>
      <c r="I203" s="43" t="n">
        <v>19.9771</v>
      </c>
      <c r="J203" s="44" t="n">
        <v>274</v>
      </c>
      <c r="K20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3" s="46">
        <f>(Dashboard!$C$13*tblHistory[[#This Row],[NDX S]]+Dashboard!$C$14*tblHistory[[#This Row],[SOX S]]+Dashboard!$C$15*tblHistory[[#This Row],[AIQ S]])/(Dashboard!$C$13+Dashboard!$C$14+Dashboard!$C$15)*100</f>
        <v/>
      </c>
      <c r="U203" s="46">
        <f>(Dashboard!$C$16*tblHistory[[#This Row],[DTCR S]]+Dashboard!$C$17*tblHistory[[#This Row],[BBB S]]+Dashboard!$C$18*tblHistory[[#This Row],[CCC S]])/(Dashboard!$C$16+Dashboard!$C$17+Dashboard!$C$18)*100</f>
        <v/>
      </c>
      <c r="V203" s="46">
        <f>(Dashboard!$C$19*tblHistory[[#This Row],[BIZD S]]+Dashboard!$C$20*tblHistory[[#This Row],[BKLN S]]+Dashboard!$C$21*tblHistory[[#This Row],[HY S]])/(Dashboard!$C$19+Dashboard!$C$20+Dashboard!$C$21)*100</f>
        <v/>
      </c>
      <c r="W20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3" s="46">
        <f>IFERROR(--(tblHistory[[#This Row],[Score]]&gt;=50),0)</f>
        <v/>
      </c>
      <c r="Y203" s="46">
        <f>IFERROR(--AND(tblHistory[[#This Row],[Score]]&gt;=60,OR(AND(tblHistory[[#This Row],[BIZD S]]&gt;=0.8,tblHistory[[#This Row],[BKLN S]]&gt;=0.5),tblHistory[[#This Row],[CCC S]]&gt;=0.8)),0)</f>
        <v/>
      </c>
      <c r="Z203" s="46">
        <f>IFERROR(--AND(tblHistory[[#This Row],[Score]]&gt;=70,tblHistory[[#This Row],[SOX S]]&gt;=0.83,tblHistory[[#This Row],[AIQ S]]&gt;=0.8),0)</f>
        <v/>
      </c>
      <c r="AA20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4">
      <c r="A204" s="42" t="n">
        <v>46031</v>
      </c>
      <c r="B204" s="43" t="n">
        <v>25766.2598</v>
      </c>
      <c r="C204" s="43" t="n">
        <v>7638.7798</v>
      </c>
      <c r="D204" s="43" t="n">
        <v>52.58</v>
      </c>
      <c r="E204" s="43" t="n">
        <v>23.0157</v>
      </c>
      <c r="F204" s="44" t="n">
        <v>99</v>
      </c>
      <c r="G204" s="44" t="n">
        <v>865</v>
      </c>
      <c r="H204" s="43" t="n">
        <v>13.0805</v>
      </c>
      <c r="I204" s="43" t="n">
        <v>19.9771</v>
      </c>
      <c r="J204" s="44" t="n">
        <v>274</v>
      </c>
      <c r="K20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4" s="46">
        <f>(Dashboard!$C$13*tblHistory[[#This Row],[NDX S]]+Dashboard!$C$14*tblHistory[[#This Row],[SOX S]]+Dashboard!$C$15*tblHistory[[#This Row],[AIQ S]])/(Dashboard!$C$13+Dashboard!$C$14+Dashboard!$C$15)*100</f>
        <v/>
      </c>
      <c r="U204" s="46">
        <f>(Dashboard!$C$16*tblHistory[[#This Row],[DTCR S]]+Dashboard!$C$17*tblHistory[[#This Row],[BBB S]]+Dashboard!$C$18*tblHistory[[#This Row],[CCC S]])/(Dashboard!$C$16+Dashboard!$C$17+Dashboard!$C$18)*100</f>
        <v/>
      </c>
      <c r="V204" s="46">
        <f>(Dashboard!$C$19*tblHistory[[#This Row],[BIZD S]]+Dashboard!$C$20*tblHistory[[#This Row],[BKLN S]]+Dashboard!$C$21*tblHistory[[#This Row],[HY S]])/(Dashboard!$C$19+Dashboard!$C$20+Dashboard!$C$21)*100</f>
        <v/>
      </c>
      <c r="W20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4" s="46">
        <f>IFERROR(--(tblHistory[[#This Row],[Score]]&gt;=50),0)</f>
        <v/>
      </c>
      <c r="Y204" s="46">
        <f>IFERROR(--AND(tblHistory[[#This Row],[Score]]&gt;=60,OR(AND(tblHistory[[#This Row],[BIZD S]]&gt;=0.8,tblHistory[[#This Row],[BKLN S]]&gt;=0.5),tblHistory[[#This Row],[CCC S]]&gt;=0.8)),0)</f>
        <v/>
      </c>
      <c r="Z204" s="46">
        <f>IFERROR(--AND(tblHistory[[#This Row],[Score]]&gt;=70,tblHistory[[#This Row],[SOX S]]&gt;=0.83,tblHistory[[#This Row],[AIQ S]]&gt;=0.8),0)</f>
        <v/>
      </c>
      <c r="AA20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5">
      <c r="A205" s="42" t="n">
        <v>46030</v>
      </c>
      <c r="B205" s="43" t="n">
        <v>25507.0996</v>
      </c>
      <c r="C205" s="43" t="n">
        <v>7436.1001</v>
      </c>
      <c r="D205" s="43" t="n">
        <v>52.14</v>
      </c>
      <c r="E205" s="43" t="n">
        <v>22.5374</v>
      </c>
      <c r="F205" s="44" t="n">
        <v>101</v>
      </c>
      <c r="G205" s="44" t="n">
        <v>868</v>
      </c>
      <c r="H205" s="43" t="n">
        <v>13.1261</v>
      </c>
      <c r="I205" s="43" t="n">
        <v>19.9676</v>
      </c>
      <c r="J205" s="44" t="n">
        <v>276</v>
      </c>
      <c r="K20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5" s="46">
        <f>(Dashboard!$C$13*tblHistory[[#This Row],[NDX S]]+Dashboard!$C$14*tblHistory[[#This Row],[SOX S]]+Dashboard!$C$15*tblHistory[[#This Row],[AIQ S]])/(Dashboard!$C$13+Dashboard!$C$14+Dashboard!$C$15)*100</f>
        <v/>
      </c>
      <c r="U205" s="46">
        <f>(Dashboard!$C$16*tblHistory[[#This Row],[DTCR S]]+Dashboard!$C$17*tblHistory[[#This Row],[BBB S]]+Dashboard!$C$18*tblHistory[[#This Row],[CCC S]])/(Dashboard!$C$16+Dashboard!$C$17+Dashboard!$C$18)*100</f>
        <v/>
      </c>
      <c r="V205" s="46">
        <f>(Dashboard!$C$19*tblHistory[[#This Row],[BIZD S]]+Dashboard!$C$20*tblHistory[[#This Row],[BKLN S]]+Dashboard!$C$21*tblHistory[[#This Row],[HY S]])/(Dashboard!$C$19+Dashboard!$C$20+Dashboard!$C$21)*100</f>
        <v/>
      </c>
      <c r="W20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5" s="46">
        <f>IFERROR(--(tblHistory[[#This Row],[Score]]&gt;=50),0)</f>
        <v/>
      </c>
      <c r="Y205" s="46">
        <f>IFERROR(--AND(tblHistory[[#This Row],[Score]]&gt;=60,OR(AND(tblHistory[[#This Row],[BIZD S]]&gt;=0.8,tblHistory[[#This Row],[BKLN S]]&gt;=0.5),tblHistory[[#This Row],[CCC S]]&gt;=0.8)),0)</f>
        <v/>
      </c>
      <c r="Z205" s="46">
        <f>IFERROR(--AND(tblHistory[[#This Row],[Score]]&gt;=70,tblHistory[[#This Row],[SOX S]]&gt;=0.83,tblHistory[[#This Row],[AIQ S]]&gt;=0.8),0)</f>
        <v/>
      </c>
      <c r="AA20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6">
      <c r="A206" s="42" t="n">
        <v>46029</v>
      </c>
      <c r="B206" s="43" t="n">
        <v>25653.9004</v>
      </c>
      <c r="C206" s="43" t="n">
        <v>7574.8701</v>
      </c>
      <c r="D206" s="43" t="n">
        <v>52.58</v>
      </c>
      <c r="E206" s="43" t="n">
        <v>22.368</v>
      </c>
      <c r="F206" s="44" t="n">
        <v>101</v>
      </c>
      <c r="G206" s="44" t="n">
        <v>870</v>
      </c>
      <c r="H206" s="43" t="n">
        <v>12.743</v>
      </c>
      <c r="I206" s="43" t="n">
        <v>19.9581</v>
      </c>
      <c r="J206" s="44" t="n">
        <v>279</v>
      </c>
      <c r="K20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6" s="46">
        <f>(Dashboard!$C$13*tblHistory[[#This Row],[NDX S]]+Dashboard!$C$14*tblHistory[[#This Row],[SOX S]]+Dashboard!$C$15*tblHistory[[#This Row],[AIQ S]])/(Dashboard!$C$13+Dashboard!$C$14+Dashboard!$C$15)*100</f>
        <v/>
      </c>
      <c r="U206" s="46">
        <f>(Dashboard!$C$16*tblHistory[[#This Row],[DTCR S]]+Dashboard!$C$17*tblHistory[[#This Row],[BBB S]]+Dashboard!$C$18*tblHistory[[#This Row],[CCC S]])/(Dashboard!$C$16+Dashboard!$C$17+Dashboard!$C$18)*100</f>
        <v/>
      </c>
      <c r="V206" s="46">
        <f>(Dashboard!$C$19*tblHistory[[#This Row],[BIZD S]]+Dashboard!$C$20*tblHistory[[#This Row],[BKLN S]]+Dashboard!$C$21*tblHistory[[#This Row],[HY S]])/(Dashboard!$C$19+Dashboard!$C$20+Dashboard!$C$21)*100</f>
        <v/>
      </c>
      <c r="W20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6" s="46">
        <f>IFERROR(--(tblHistory[[#This Row],[Score]]&gt;=50),0)</f>
        <v/>
      </c>
      <c r="Y206" s="46">
        <f>IFERROR(--AND(tblHistory[[#This Row],[Score]]&gt;=60,OR(AND(tblHistory[[#This Row],[BIZD S]]&gt;=0.8,tblHistory[[#This Row],[BKLN S]]&gt;=0.5),tblHistory[[#This Row],[CCC S]]&gt;=0.8)),0)</f>
        <v/>
      </c>
      <c r="Z206" s="46">
        <f>IFERROR(--AND(tblHistory[[#This Row],[Score]]&gt;=70,tblHistory[[#This Row],[SOX S]]&gt;=0.83,tblHistory[[#This Row],[AIQ S]]&gt;=0.8),0)</f>
        <v/>
      </c>
      <c r="AA20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7">
      <c r="A207" s="42" t="n">
        <v>46028</v>
      </c>
      <c r="B207" s="43" t="n">
        <v>25639.7109</v>
      </c>
      <c r="C207" s="43" t="n">
        <v>7650.9302</v>
      </c>
      <c r="D207" s="43" t="n">
        <v>52.65</v>
      </c>
      <c r="E207" s="43" t="n">
        <v>22.5175</v>
      </c>
      <c r="F207" s="44" t="n">
        <v>100</v>
      </c>
      <c r="G207" s="44" t="n">
        <v>874</v>
      </c>
      <c r="H207" s="43" t="n">
        <v>13.0805</v>
      </c>
      <c r="I207" s="43" t="n">
        <v>19.9581</v>
      </c>
      <c r="J207" s="44" t="n">
        <v>279</v>
      </c>
      <c r="K20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7" s="46">
        <f>(Dashboard!$C$13*tblHistory[[#This Row],[NDX S]]+Dashboard!$C$14*tblHistory[[#This Row],[SOX S]]+Dashboard!$C$15*tblHistory[[#This Row],[AIQ S]])/(Dashboard!$C$13+Dashboard!$C$14+Dashboard!$C$15)*100</f>
        <v/>
      </c>
      <c r="U207" s="46">
        <f>(Dashboard!$C$16*tblHistory[[#This Row],[DTCR S]]+Dashboard!$C$17*tblHistory[[#This Row],[BBB S]]+Dashboard!$C$18*tblHistory[[#This Row],[CCC S]])/(Dashboard!$C$16+Dashboard!$C$17+Dashboard!$C$18)*100</f>
        <v/>
      </c>
      <c r="V207" s="46">
        <f>(Dashboard!$C$19*tblHistory[[#This Row],[BIZD S]]+Dashboard!$C$20*tblHistory[[#This Row],[BKLN S]]+Dashboard!$C$21*tblHistory[[#This Row],[HY S]])/(Dashboard!$C$19+Dashboard!$C$20+Dashboard!$C$21)*100</f>
        <v/>
      </c>
      <c r="W20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7" s="46">
        <f>IFERROR(--(tblHistory[[#This Row],[Score]]&gt;=50),0)</f>
        <v/>
      </c>
      <c r="Y207" s="46">
        <f>IFERROR(--AND(tblHistory[[#This Row],[Score]]&gt;=60,OR(AND(tblHistory[[#This Row],[BIZD S]]&gt;=0.8,tblHistory[[#This Row],[BKLN S]]&gt;=0.5),tblHistory[[#This Row],[CCC S]]&gt;=0.8)),0)</f>
        <v/>
      </c>
      <c r="Z207" s="46">
        <f>IFERROR(--AND(tblHistory[[#This Row],[Score]]&gt;=70,tblHistory[[#This Row],[SOX S]]&gt;=0.83,tblHistory[[#This Row],[AIQ S]]&gt;=0.8),0)</f>
        <v/>
      </c>
      <c r="AA20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8">
      <c r="A208" s="42" t="n">
        <v>46027</v>
      </c>
      <c r="B208" s="43" t="n">
        <v>25401.3203</v>
      </c>
      <c r="C208" s="43" t="n">
        <v>7446.4502</v>
      </c>
      <c r="D208" s="43" t="n">
        <v>52.05</v>
      </c>
      <c r="E208" s="43" t="n">
        <v>22.1389</v>
      </c>
      <c r="F208" s="44" t="n">
        <v>101</v>
      </c>
      <c r="G208" s="44" t="n">
        <v>883</v>
      </c>
      <c r="H208" s="43" t="n">
        <v>13.1808</v>
      </c>
      <c r="I208" s="43" t="n">
        <v>19.9487</v>
      </c>
      <c r="J208" s="44" t="n">
        <v>281</v>
      </c>
      <c r="K20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8" s="46">
        <f>(Dashboard!$C$13*tblHistory[[#This Row],[NDX S]]+Dashboard!$C$14*tblHistory[[#This Row],[SOX S]]+Dashboard!$C$15*tblHistory[[#This Row],[AIQ S]])/(Dashboard!$C$13+Dashboard!$C$14+Dashboard!$C$15)*100</f>
        <v/>
      </c>
      <c r="U208" s="46">
        <f>(Dashboard!$C$16*tblHistory[[#This Row],[DTCR S]]+Dashboard!$C$17*tblHistory[[#This Row],[BBB S]]+Dashboard!$C$18*tblHistory[[#This Row],[CCC S]])/(Dashboard!$C$16+Dashboard!$C$17+Dashboard!$C$18)*100</f>
        <v/>
      </c>
      <c r="V208" s="46">
        <f>(Dashboard!$C$19*tblHistory[[#This Row],[BIZD S]]+Dashboard!$C$20*tblHistory[[#This Row],[BKLN S]]+Dashboard!$C$21*tblHistory[[#This Row],[HY S]])/(Dashboard!$C$19+Dashboard!$C$20+Dashboard!$C$21)*100</f>
        <v/>
      </c>
      <c r="W20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8" s="46">
        <f>IFERROR(--(tblHistory[[#This Row],[Score]]&gt;=50),0)</f>
        <v/>
      </c>
      <c r="Y208" s="46">
        <f>IFERROR(--AND(tblHistory[[#This Row],[Score]]&gt;=60,OR(AND(tblHistory[[#This Row],[BIZD S]]&gt;=0.8,tblHistory[[#This Row],[BKLN S]]&gt;=0.5),tblHistory[[#This Row],[CCC S]]&gt;=0.8)),0)</f>
        <v/>
      </c>
      <c r="Z208" s="46">
        <f>IFERROR(--AND(tblHistory[[#This Row],[Score]]&gt;=70,tblHistory[[#This Row],[SOX S]]&gt;=0.83,tblHistory[[#This Row],[AIQ S]]&gt;=0.8),0)</f>
        <v/>
      </c>
      <c r="AA20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09">
      <c r="A209" s="42" t="n">
        <v>46024</v>
      </c>
      <c r="B209" s="43" t="n">
        <v>25206.1699</v>
      </c>
      <c r="C209" s="43" t="n">
        <v>7367.4702</v>
      </c>
      <c r="D209" s="43" t="n">
        <v>51.43</v>
      </c>
      <c r="E209" s="43" t="n">
        <v>21.8699</v>
      </c>
      <c r="F209" s="44" t="n">
        <v>101</v>
      </c>
      <c r="G209" s="44" t="n">
        <v>888</v>
      </c>
      <c r="H209" s="43" t="n">
        <v>13.0075</v>
      </c>
      <c r="I209" s="43" t="n">
        <v>19.9297</v>
      </c>
      <c r="J209" s="44" t="n">
        <v>283</v>
      </c>
      <c r="K20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0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0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0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0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0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0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0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0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09" s="46">
        <f>(Dashboard!$C$13*tblHistory[[#This Row],[NDX S]]+Dashboard!$C$14*tblHistory[[#This Row],[SOX S]]+Dashboard!$C$15*tblHistory[[#This Row],[AIQ S]])/(Dashboard!$C$13+Dashboard!$C$14+Dashboard!$C$15)*100</f>
        <v/>
      </c>
      <c r="U209" s="46">
        <f>(Dashboard!$C$16*tblHistory[[#This Row],[DTCR S]]+Dashboard!$C$17*tblHistory[[#This Row],[BBB S]]+Dashboard!$C$18*tblHistory[[#This Row],[CCC S]])/(Dashboard!$C$16+Dashboard!$C$17+Dashboard!$C$18)*100</f>
        <v/>
      </c>
      <c r="V209" s="46">
        <f>(Dashboard!$C$19*tblHistory[[#This Row],[BIZD S]]+Dashboard!$C$20*tblHistory[[#This Row],[BKLN S]]+Dashboard!$C$21*tblHistory[[#This Row],[HY S]])/(Dashboard!$C$19+Dashboard!$C$20+Dashboard!$C$21)*100</f>
        <v/>
      </c>
      <c r="W20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09" s="46">
        <f>IFERROR(--(tblHistory[[#This Row],[Score]]&gt;=50),0)</f>
        <v/>
      </c>
      <c r="Y209" s="46">
        <f>IFERROR(--AND(tblHistory[[#This Row],[Score]]&gt;=60,OR(AND(tblHistory[[#This Row],[BIZD S]]&gt;=0.8,tblHistory[[#This Row],[BKLN S]]&gt;=0.5),tblHistory[[#This Row],[CCC S]]&gt;=0.8)),0)</f>
        <v/>
      </c>
      <c r="Z209" s="46">
        <f>IFERROR(--AND(tblHistory[[#This Row],[Score]]&gt;=70,tblHistory[[#This Row],[SOX S]]&gt;=0.83,tblHistory[[#This Row],[AIQ S]]&gt;=0.8),0)</f>
        <v/>
      </c>
      <c r="AA20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0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0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0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0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0">
      <c r="A210" s="42" t="n">
        <v>46022</v>
      </c>
      <c r="B210" s="43" t="n">
        <v>25249.8496</v>
      </c>
      <c r="C210" s="43" t="n">
        <v>7083.1299</v>
      </c>
      <c r="D210" s="43" t="n">
        <v>50.86</v>
      </c>
      <c r="E210" s="43" t="n">
        <v>21.023</v>
      </c>
      <c r="F210" s="44" t="n">
        <v>101</v>
      </c>
      <c r="G210" s="44" t="n">
        <v>885</v>
      </c>
      <c r="H210" s="43" t="n">
        <v>12.9345</v>
      </c>
      <c r="I210" s="43" t="n">
        <v>19.9202</v>
      </c>
      <c r="J210" s="44" t="n">
        <v>281</v>
      </c>
      <c r="K21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0" s="46">
        <f>(Dashboard!$C$13*tblHistory[[#This Row],[NDX S]]+Dashboard!$C$14*tblHistory[[#This Row],[SOX S]]+Dashboard!$C$15*tblHistory[[#This Row],[AIQ S]])/(Dashboard!$C$13+Dashboard!$C$14+Dashboard!$C$15)*100</f>
        <v/>
      </c>
      <c r="U210" s="46">
        <f>(Dashboard!$C$16*tblHistory[[#This Row],[DTCR S]]+Dashboard!$C$17*tblHistory[[#This Row],[BBB S]]+Dashboard!$C$18*tblHistory[[#This Row],[CCC S]])/(Dashboard!$C$16+Dashboard!$C$17+Dashboard!$C$18)*100</f>
        <v/>
      </c>
      <c r="V210" s="46">
        <f>(Dashboard!$C$19*tblHistory[[#This Row],[BIZD S]]+Dashboard!$C$20*tblHistory[[#This Row],[BKLN S]]+Dashboard!$C$21*tblHistory[[#This Row],[HY S]])/(Dashboard!$C$19+Dashboard!$C$20+Dashboard!$C$21)*100</f>
        <v/>
      </c>
      <c r="W21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0" s="46">
        <f>IFERROR(--(tblHistory[[#This Row],[Score]]&gt;=50),0)</f>
        <v/>
      </c>
      <c r="Y210" s="46">
        <f>IFERROR(--AND(tblHistory[[#This Row],[Score]]&gt;=60,OR(AND(tblHistory[[#This Row],[BIZD S]]&gt;=0.8,tblHistory[[#This Row],[BKLN S]]&gt;=0.5),tblHistory[[#This Row],[CCC S]]&gt;=0.8)),0)</f>
        <v/>
      </c>
      <c r="Z210" s="46">
        <f>IFERROR(--AND(tblHistory[[#This Row],[Score]]&gt;=70,tblHistory[[#This Row],[SOX S]]&gt;=0.83,tblHistory[[#This Row],[AIQ S]]&gt;=0.8),0)</f>
        <v/>
      </c>
      <c r="AA21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1">
      <c r="A211" s="42" t="n">
        <v>46021</v>
      </c>
      <c r="B211" s="43" t="n">
        <v>25462.5605</v>
      </c>
      <c r="C211" s="43" t="n">
        <v>7169.1001</v>
      </c>
      <c r="D211" s="43" t="n">
        <v>51.36</v>
      </c>
      <c r="E211" s="43" t="n">
        <v>21.1326</v>
      </c>
      <c r="F211" s="44" t="n">
        <v>101</v>
      </c>
      <c r="G211" s="44" t="n">
        <v>873</v>
      </c>
      <c r="H211" s="43" t="n">
        <v>12.9163</v>
      </c>
      <c r="I211" s="43" t="n">
        <v>19.9202</v>
      </c>
      <c r="J211" s="44" t="n">
        <v>284</v>
      </c>
      <c r="K21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1" s="46">
        <f>(Dashboard!$C$13*tblHistory[[#This Row],[NDX S]]+Dashboard!$C$14*tblHistory[[#This Row],[SOX S]]+Dashboard!$C$15*tblHistory[[#This Row],[AIQ S]])/(Dashboard!$C$13+Dashboard!$C$14+Dashboard!$C$15)*100</f>
        <v/>
      </c>
      <c r="U211" s="46">
        <f>(Dashboard!$C$16*tblHistory[[#This Row],[DTCR S]]+Dashboard!$C$17*tblHistory[[#This Row],[BBB S]]+Dashboard!$C$18*tblHistory[[#This Row],[CCC S]])/(Dashboard!$C$16+Dashboard!$C$17+Dashboard!$C$18)*100</f>
        <v/>
      </c>
      <c r="V211" s="46">
        <f>(Dashboard!$C$19*tblHistory[[#This Row],[BIZD S]]+Dashboard!$C$20*tblHistory[[#This Row],[BKLN S]]+Dashboard!$C$21*tblHistory[[#This Row],[HY S]])/(Dashboard!$C$19+Dashboard!$C$20+Dashboard!$C$21)*100</f>
        <v/>
      </c>
      <c r="W21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1" s="46">
        <f>IFERROR(--(tblHistory[[#This Row],[Score]]&gt;=50),0)</f>
        <v/>
      </c>
      <c r="Y211" s="46">
        <f>IFERROR(--AND(tblHistory[[#This Row],[Score]]&gt;=60,OR(AND(tblHistory[[#This Row],[BIZD S]]&gt;=0.8,tblHistory[[#This Row],[BKLN S]]&gt;=0.5),tblHistory[[#This Row],[CCC S]]&gt;=0.8)),0)</f>
        <v/>
      </c>
      <c r="Z211" s="46">
        <f>IFERROR(--AND(tblHistory[[#This Row],[Score]]&gt;=70,tblHistory[[#This Row],[SOX S]]&gt;=0.83,tblHistory[[#This Row],[AIQ S]]&gt;=0.8),0)</f>
        <v/>
      </c>
      <c r="AA21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2">
      <c r="A212" s="42" t="n">
        <v>46020</v>
      </c>
      <c r="B212" s="43" t="n">
        <v>25525.5605</v>
      </c>
      <c r="C212" s="43" t="n">
        <v>7178.27</v>
      </c>
      <c r="D212" s="43" t="n">
        <v>51.445</v>
      </c>
      <c r="E212" s="43" t="n">
        <v>20.9383</v>
      </c>
      <c r="F212" s="44" t="n">
        <v>100</v>
      </c>
      <c r="G212" s="44" t="n">
        <v>878</v>
      </c>
      <c r="H212" s="43" t="n">
        <v>12.8433</v>
      </c>
      <c r="I212" s="43" t="n">
        <v>19.9012</v>
      </c>
      <c r="J212" s="44" t="n">
        <v>287</v>
      </c>
      <c r="K21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2" s="46">
        <f>(Dashboard!$C$13*tblHistory[[#This Row],[NDX S]]+Dashboard!$C$14*tblHistory[[#This Row],[SOX S]]+Dashboard!$C$15*tblHistory[[#This Row],[AIQ S]])/(Dashboard!$C$13+Dashboard!$C$14+Dashboard!$C$15)*100</f>
        <v/>
      </c>
      <c r="U212" s="46">
        <f>(Dashboard!$C$16*tblHistory[[#This Row],[DTCR S]]+Dashboard!$C$17*tblHistory[[#This Row],[BBB S]]+Dashboard!$C$18*tblHistory[[#This Row],[CCC S]])/(Dashboard!$C$16+Dashboard!$C$17+Dashboard!$C$18)*100</f>
        <v/>
      </c>
      <c r="V212" s="46">
        <f>(Dashboard!$C$19*tblHistory[[#This Row],[BIZD S]]+Dashboard!$C$20*tblHistory[[#This Row],[BKLN S]]+Dashboard!$C$21*tblHistory[[#This Row],[HY S]])/(Dashboard!$C$19+Dashboard!$C$20+Dashboard!$C$21)*100</f>
        <v/>
      </c>
      <c r="W21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2" s="46">
        <f>IFERROR(--(tblHistory[[#This Row],[Score]]&gt;=50),0)</f>
        <v/>
      </c>
      <c r="Y212" s="46">
        <f>IFERROR(--AND(tblHistory[[#This Row],[Score]]&gt;=60,OR(AND(tblHistory[[#This Row],[BIZD S]]&gt;=0.8,tblHistory[[#This Row],[BKLN S]]&gt;=0.5),tblHistory[[#This Row],[CCC S]]&gt;=0.8)),0)</f>
        <v/>
      </c>
      <c r="Z212" s="46">
        <f>IFERROR(--AND(tblHistory[[#This Row],[Score]]&gt;=70,tblHistory[[#This Row],[SOX S]]&gt;=0.83,tblHistory[[#This Row],[AIQ S]]&gt;=0.8),0)</f>
        <v/>
      </c>
      <c r="AA21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3">
      <c r="A213" s="42" t="n">
        <v>46017</v>
      </c>
      <c r="B213" s="43" t="n">
        <v>25644.3906</v>
      </c>
      <c r="C213" s="43" t="n">
        <v>7207.6401</v>
      </c>
      <c r="D213" s="43" t="n">
        <v>51.5249</v>
      </c>
      <c r="E213" s="43" t="n">
        <v>20.8789</v>
      </c>
      <c r="F213" s="44" t="n">
        <v>100</v>
      </c>
      <c r="G213" s="44" t="n">
        <v>880</v>
      </c>
      <c r="H213" s="43" t="n">
        <v>12.878</v>
      </c>
      <c r="I213" s="43" t="n">
        <v>19.9107</v>
      </c>
      <c r="J213" s="44" t="n">
        <v>286</v>
      </c>
      <c r="K21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3" s="46">
        <f>(Dashboard!$C$13*tblHistory[[#This Row],[NDX S]]+Dashboard!$C$14*tblHistory[[#This Row],[SOX S]]+Dashboard!$C$15*tblHistory[[#This Row],[AIQ S]])/(Dashboard!$C$13+Dashboard!$C$14+Dashboard!$C$15)*100</f>
        <v/>
      </c>
      <c r="U213" s="46">
        <f>(Dashboard!$C$16*tblHistory[[#This Row],[DTCR S]]+Dashboard!$C$17*tblHistory[[#This Row],[BBB S]]+Dashboard!$C$18*tblHistory[[#This Row],[CCC S]])/(Dashboard!$C$16+Dashboard!$C$17+Dashboard!$C$18)*100</f>
        <v/>
      </c>
      <c r="V213" s="46">
        <f>(Dashboard!$C$19*tblHistory[[#This Row],[BIZD S]]+Dashboard!$C$20*tblHistory[[#This Row],[BKLN S]]+Dashboard!$C$21*tblHistory[[#This Row],[HY S]])/(Dashboard!$C$19+Dashboard!$C$20+Dashboard!$C$21)*100</f>
        <v/>
      </c>
      <c r="W21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3" s="46">
        <f>IFERROR(--(tblHistory[[#This Row],[Score]]&gt;=50),0)</f>
        <v/>
      </c>
      <c r="Y213" s="46">
        <f>IFERROR(--AND(tblHistory[[#This Row],[Score]]&gt;=60,OR(AND(tblHistory[[#This Row],[BIZD S]]&gt;=0.8,tblHistory[[#This Row],[BKLN S]]&gt;=0.5),tblHistory[[#This Row],[CCC S]]&gt;=0.8)),0)</f>
        <v/>
      </c>
      <c r="Z213" s="46">
        <f>IFERROR(--AND(tblHistory[[#This Row],[Score]]&gt;=70,tblHistory[[#This Row],[SOX S]]&gt;=0.83,tblHistory[[#This Row],[AIQ S]]&gt;=0.8),0)</f>
        <v/>
      </c>
      <c r="AA21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4">
      <c r="A214" s="42" t="n">
        <v>46015</v>
      </c>
      <c r="B214" s="43" t="n">
        <v>25656.1504</v>
      </c>
      <c r="C214" s="43" t="n">
        <v>7204.3701</v>
      </c>
      <c r="D214" s="43" t="n">
        <v>51.405</v>
      </c>
      <c r="E214" s="43" t="n">
        <v>20.8888</v>
      </c>
      <c r="F214" s="44" t="n">
        <v>100</v>
      </c>
      <c r="G214" s="44" t="n">
        <v>875</v>
      </c>
      <c r="H214" s="43" t="n">
        <v>12.7538</v>
      </c>
      <c r="I214" s="43" t="n">
        <v>19.8917</v>
      </c>
      <c r="J214" s="44" t="n">
        <v>284</v>
      </c>
      <c r="K21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4" s="46">
        <f>(Dashboard!$C$13*tblHistory[[#This Row],[NDX S]]+Dashboard!$C$14*tblHistory[[#This Row],[SOX S]]+Dashboard!$C$15*tblHistory[[#This Row],[AIQ S]])/(Dashboard!$C$13+Dashboard!$C$14+Dashboard!$C$15)*100</f>
        <v/>
      </c>
      <c r="U214" s="46">
        <f>(Dashboard!$C$16*tblHistory[[#This Row],[DTCR S]]+Dashboard!$C$17*tblHistory[[#This Row],[BBB S]]+Dashboard!$C$18*tblHistory[[#This Row],[CCC S]])/(Dashboard!$C$16+Dashboard!$C$17+Dashboard!$C$18)*100</f>
        <v/>
      </c>
      <c r="V214" s="46">
        <f>(Dashboard!$C$19*tblHistory[[#This Row],[BIZD S]]+Dashboard!$C$20*tblHistory[[#This Row],[BKLN S]]+Dashboard!$C$21*tblHistory[[#This Row],[HY S]])/(Dashboard!$C$19+Dashboard!$C$20+Dashboard!$C$21)*100</f>
        <v/>
      </c>
      <c r="W21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4" s="46">
        <f>IFERROR(--(tblHistory[[#This Row],[Score]]&gt;=50),0)</f>
        <v/>
      </c>
      <c r="Y214" s="46">
        <f>IFERROR(--AND(tblHistory[[#This Row],[Score]]&gt;=60,OR(AND(tblHistory[[#This Row],[BIZD S]]&gt;=0.8,tblHistory[[#This Row],[BKLN S]]&gt;=0.5),tblHistory[[#This Row],[CCC S]]&gt;=0.8)),0)</f>
        <v/>
      </c>
      <c r="Z214" s="46">
        <f>IFERROR(--AND(tblHistory[[#This Row],[Score]]&gt;=70,tblHistory[[#This Row],[SOX S]]&gt;=0.83,tblHistory[[#This Row],[AIQ S]]&gt;=0.8),0)</f>
        <v/>
      </c>
      <c r="AA21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5">
      <c r="A215" s="42" t="n">
        <v>46014</v>
      </c>
      <c r="B215" s="43" t="n">
        <v>25587.8301</v>
      </c>
      <c r="C215" s="43" t="n">
        <v>7184.54</v>
      </c>
      <c r="D215" s="43" t="n">
        <v>51.2552</v>
      </c>
      <c r="E215" s="43" t="n">
        <v>20.7254</v>
      </c>
      <c r="F215" s="44" t="n">
        <v>101</v>
      </c>
      <c r="G215" s="44" t="n">
        <v>873</v>
      </c>
      <c r="H215" s="43" t="n">
        <v>12.7272</v>
      </c>
      <c r="I215" s="43" t="n">
        <v>19.8822</v>
      </c>
      <c r="J215" s="44" t="n">
        <v>283</v>
      </c>
      <c r="K21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5" s="46">
        <f>(Dashboard!$C$13*tblHistory[[#This Row],[NDX S]]+Dashboard!$C$14*tblHistory[[#This Row],[SOX S]]+Dashboard!$C$15*tblHistory[[#This Row],[AIQ S]])/(Dashboard!$C$13+Dashboard!$C$14+Dashboard!$C$15)*100</f>
        <v/>
      </c>
      <c r="U215" s="46">
        <f>(Dashboard!$C$16*tblHistory[[#This Row],[DTCR S]]+Dashboard!$C$17*tblHistory[[#This Row],[BBB S]]+Dashboard!$C$18*tblHistory[[#This Row],[CCC S]])/(Dashboard!$C$16+Dashboard!$C$17+Dashboard!$C$18)*100</f>
        <v/>
      </c>
      <c r="V215" s="46">
        <f>(Dashboard!$C$19*tblHistory[[#This Row],[BIZD S]]+Dashboard!$C$20*tblHistory[[#This Row],[BKLN S]]+Dashboard!$C$21*tblHistory[[#This Row],[HY S]])/(Dashboard!$C$19+Dashboard!$C$20+Dashboard!$C$21)*100</f>
        <v/>
      </c>
      <c r="W21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5" s="46">
        <f>IFERROR(--(tblHistory[[#This Row],[Score]]&gt;=50),0)</f>
        <v/>
      </c>
      <c r="Y215" s="46">
        <f>IFERROR(--AND(tblHistory[[#This Row],[Score]]&gt;=60,OR(AND(tblHistory[[#This Row],[BIZD S]]&gt;=0.8,tblHistory[[#This Row],[BKLN S]]&gt;=0.5),tblHistory[[#This Row],[CCC S]]&gt;=0.8)),0)</f>
        <v/>
      </c>
      <c r="Z215" s="46">
        <f>IFERROR(--AND(tblHistory[[#This Row],[Score]]&gt;=70,tblHistory[[#This Row],[SOX S]]&gt;=0.83,tblHistory[[#This Row],[AIQ S]]&gt;=0.8),0)</f>
        <v/>
      </c>
      <c r="AA21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6">
      <c r="A216" s="42" t="n">
        <v>46013</v>
      </c>
      <c r="B216" s="43" t="n">
        <v>25461.6992</v>
      </c>
      <c r="C216" s="43" t="n">
        <v>7145.5698</v>
      </c>
      <c r="D216" s="43" t="n">
        <v>51.1153</v>
      </c>
      <c r="E216" s="43" t="n">
        <v>20.7502</v>
      </c>
      <c r="F216" s="44" t="n">
        <v>102</v>
      </c>
      <c r="G216" s="44" t="n">
        <v>880</v>
      </c>
      <c r="H216" s="43" t="n">
        <v>12.7981</v>
      </c>
      <c r="I216" s="43" t="n">
        <v>19.8633</v>
      </c>
      <c r="J216" s="44" t="n">
        <v>288</v>
      </c>
      <c r="K21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6" s="46">
        <f>(Dashboard!$C$13*tblHistory[[#This Row],[NDX S]]+Dashboard!$C$14*tblHistory[[#This Row],[SOX S]]+Dashboard!$C$15*tblHistory[[#This Row],[AIQ S]])/(Dashboard!$C$13+Dashboard!$C$14+Dashboard!$C$15)*100</f>
        <v/>
      </c>
      <c r="U216" s="46">
        <f>(Dashboard!$C$16*tblHistory[[#This Row],[DTCR S]]+Dashboard!$C$17*tblHistory[[#This Row],[BBB S]]+Dashboard!$C$18*tblHistory[[#This Row],[CCC S]])/(Dashboard!$C$16+Dashboard!$C$17+Dashboard!$C$18)*100</f>
        <v/>
      </c>
      <c r="V216" s="46">
        <f>(Dashboard!$C$19*tblHistory[[#This Row],[BIZD S]]+Dashboard!$C$20*tblHistory[[#This Row],[BKLN S]]+Dashboard!$C$21*tblHistory[[#This Row],[HY S]])/(Dashboard!$C$19+Dashboard!$C$20+Dashboard!$C$21)*100</f>
        <v/>
      </c>
      <c r="W21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6" s="46">
        <f>IFERROR(--(tblHistory[[#This Row],[Score]]&gt;=50),0)</f>
        <v/>
      </c>
      <c r="Y216" s="46">
        <f>IFERROR(--AND(tblHistory[[#This Row],[Score]]&gt;=60,OR(AND(tblHistory[[#This Row],[BIZD S]]&gt;=0.8,tblHistory[[#This Row],[BKLN S]]&gt;=0.5),tblHistory[[#This Row],[CCC S]]&gt;=0.8)),0)</f>
        <v/>
      </c>
      <c r="Z216" s="46">
        <f>IFERROR(--AND(tblHistory[[#This Row],[Score]]&gt;=70,tblHistory[[#This Row],[SOX S]]&gt;=0.83,tblHistory[[#This Row],[AIQ S]]&gt;=0.8),0)</f>
        <v/>
      </c>
      <c r="AA21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7">
      <c r="A217" s="42" t="n">
        <v>46010</v>
      </c>
      <c r="B217" s="43" t="n">
        <v>25346.1797</v>
      </c>
      <c r="C217" s="43" t="n">
        <v>7067.8701</v>
      </c>
      <c r="D217" s="43" t="n">
        <v>50.6857</v>
      </c>
      <c r="E217" s="43" t="n">
        <v>20.5522</v>
      </c>
      <c r="F217" s="44" t="n">
        <v>102</v>
      </c>
      <c r="G217" s="44" t="n">
        <v>884</v>
      </c>
      <c r="H217" s="43" t="n">
        <v>12.7981</v>
      </c>
      <c r="I217" s="43" t="n">
        <v>19.832</v>
      </c>
      <c r="J217" s="44" t="n">
        <v>290</v>
      </c>
      <c r="K21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7" s="46">
        <f>(Dashboard!$C$13*tblHistory[[#This Row],[NDX S]]+Dashboard!$C$14*tblHistory[[#This Row],[SOX S]]+Dashboard!$C$15*tblHistory[[#This Row],[AIQ S]])/(Dashboard!$C$13+Dashboard!$C$14+Dashboard!$C$15)*100</f>
        <v/>
      </c>
      <c r="U217" s="46">
        <f>(Dashboard!$C$16*tblHistory[[#This Row],[DTCR S]]+Dashboard!$C$17*tblHistory[[#This Row],[BBB S]]+Dashboard!$C$18*tblHistory[[#This Row],[CCC S]])/(Dashboard!$C$16+Dashboard!$C$17+Dashboard!$C$18)*100</f>
        <v/>
      </c>
      <c r="V217" s="46">
        <f>(Dashboard!$C$19*tblHistory[[#This Row],[BIZD S]]+Dashboard!$C$20*tblHistory[[#This Row],[BKLN S]]+Dashboard!$C$21*tblHistory[[#This Row],[HY S]])/(Dashboard!$C$19+Dashboard!$C$20+Dashboard!$C$21)*100</f>
        <v/>
      </c>
      <c r="W21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7" s="46">
        <f>IFERROR(--(tblHistory[[#This Row],[Score]]&gt;=50),0)</f>
        <v/>
      </c>
      <c r="Y217" s="46">
        <f>IFERROR(--AND(tblHistory[[#This Row],[Score]]&gt;=60,OR(AND(tblHistory[[#This Row],[BIZD S]]&gt;=0.8,tblHistory[[#This Row],[BKLN S]]&gt;=0.5),tblHistory[[#This Row],[CCC S]]&gt;=0.8)),0)</f>
        <v/>
      </c>
      <c r="Z217" s="46">
        <f>IFERROR(--AND(tblHistory[[#This Row],[Score]]&gt;=70,tblHistory[[#This Row],[SOX S]]&gt;=0.83,tblHistory[[#This Row],[AIQ S]]&gt;=0.8),0)</f>
        <v/>
      </c>
      <c r="AA21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8">
      <c r="A218" s="42" t="n">
        <v>46009</v>
      </c>
      <c r="B218" s="43" t="n">
        <v>25019.3691</v>
      </c>
      <c r="C218" s="43" t="n">
        <v>6863.6299</v>
      </c>
      <c r="D218" s="43" t="n">
        <v>49.7565</v>
      </c>
      <c r="E218" s="43" t="n">
        <v>20.1562</v>
      </c>
      <c r="F218" s="44" t="n">
        <v>103</v>
      </c>
      <c r="G218" s="44" t="n">
        <v>891</v>
      </c>
      <c r="H218" s="43" t="n">
        <v>12.9223</v>
      </c>
      <c r="I218" s="43" t="n">
        <v>19.8225</v>
      </c>
      <c r="J218" s="44" t="n">
        <v>295</v>
      </c>
      <c r="K21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8" s="46">
        <f>(Dashboard!$C$13*tblHistory[[#This Row],[NDX S]]+Dashboard!$C$14*tblHistory[[#This Row],[SOX S]]+Dashboard!$C$15*tblHistory[[#This Row],[AIQ S]])/(Dashboard!$C$13+Dashboard!$C$14+Dashboard!$C$15)*100</f>
        <v/>
      </c>
      <c r="U218" s="46">
        <f>(Dashboard!$C$16*tblHistory[[#This Row],[DTCR S]]+Dashboard!$C$17*tblHistory[[#This Row],[BBB S]]+Dashboard!$C$18*tblHistory[[#This Row],[CCC S]])/(Dashboard!$C$16+Dashboard!$C$17+Dashboard!$C$18)*100</f>
        <v/>
      </c>
      <c r="V218" s="46">
        <f>(Dashboard!$C$19*tblHistory[[#This Row],[BIZD S]]+Dashboard!$C$20*tblHistory[[#This Row],[BKLN S]]+Dashboard!$C$21*tblHistory[[#This Row],[HY S]])/(Dashboard!$C$19+Dashboard!$C$20+Dashboard!$C$21)*100</f>
        <v/>
      </c>
      <c r="W21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8" s="46">
        <f>IFERROR(--(tblHistory[[#This Row],[Score]]&gt;=50),0)</f>
        <v/>
      </c>
      <c r="Y218" s="46">
        <f>IFERROR(--AND(tblHistory[[#This Row],[Score]]&gt;=60,OR(AND(tblHistory[[#This Row],[BIZD S]]&gt;=0.8,tblHistory[[#This Row],[BKLN S]]&gt;=0.5),tblHistory[[#This Row],[CCC S]]&gt;=0.8)),0)</f>
        <v/>
      </c>
      <c r="Z218" s="46">
        <f>IFERROR(--AND(tblHistory[[#This Row],[Score]]&gt;=70,tblHistory[[#This Row],[SOX S]]&gt;=0.83,tblHistory[[#This Row],[AIQ S]]&gt;=0.8),0)</f>
        <v/>
      </c>
      <c r="AA21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19">
      <c r="A219" s="42" t="n">
        <v>46008</v>
      </c>
      <c r="B219" s="43" t="n">
        <v>24647.6094</v>
      </c>
      <c r="C219" s="43" t="n">
        <v>6695.3101</v>
      </c>
      <c r="D219" s="43" t="n">
        <v>48.9272</v>
      </c>
      <c r="E219" s="43" t="n">
        <v>19.9186</v>
      </c>
      <c r="F219" s="44" t="n">
        <v>103</v>
      </c>
      <c r="G219" s="44" t="n">
        <v>892</v>
      </c>
      <c r="H219" s="43" t="n">
        <v>12.9578</v>
      </c>
      <c r="I219" s="43" t="n">
        <v>19.8037</v>
      </c>
      <c r="J219" s="44" t="n">
        <v>299</v>
      </c>
      <c r="K21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1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1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1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1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1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1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1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1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19" s="46">
        <f>(Dashboard!$C$13*tblHistory[[#This Row],[NDX S]]+Dashboard!$C$14*tblHistory[[#This Row],[SOX S]]+Dashboard!$C$15*tblHistory[[#This Row],[AIQ S]])/(Dashboard!$C$13+Dashboard!$C$14+Dashboard!$C$15)*100</f>
        <v/>
      </c>
      <c r="U219" s="46">
        <f>(Dashboard!$C$16*tblHistory[[#This Row],[DTCR S]]+Dashboard!$C$17*tblHistory[[#This Row],[BBB S]]+Dashboard!$C$18*tblHistory[[#This Row],[CCC S]])/(Dashboard!$C$16+Dashboard!$C$17+Dashboard!$C$18)*100</f>
        <v/>
      </c>
      <c r="V219" s="46">
        <f>(Dashboard!$C$19*tblHistory[[#This Row],[BIZD S]]+Dashboard!$C$20*tblHistory[[#This Row],[BKLN S]]+Dashboard!$C$21*tblHistory[[#This Row],[HY S]])/(Dashboard!$C$19+Dashboard!$C$20+Dashboard!$C$21)*100</f>
        <v/>
      </c>
      <c r="W21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19" s="46">
        <f>IFERROR(--(tblHistory[[#This Row],[Score]]&gt;=50),0)</f>
        <v/>
      </c>
      <c r="Y219" s="46">
        <f>IFERROR(--AND(tblHistory[[#This Row],[Score]]&gt;=60,OR(AND(tblHistory[[#This Row],[BIZD S]]&gt;=0.8,tblHistory[[#This Row],[BKLN S]]&gt;=0.5),tblHistory[[#This Row],[CCC S]]&gt;=0.8)),0)</f>
        <v/>
      </c>
      <c r="Z219" s="46">
        <f>IFERROR(--AND(tblHistory[[#This Row],[Score]]&gt;=70,tblHistory[[#This Row],[SOX S]]&gt;=0.83,tblHistory[[#This Row],[AIQ S]]&gt;=0.8),0)</f>
        <v/>
      </c>
      <c r="AA21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1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1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1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1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0">
      <c r="A220" s="42" t="n">
        <v>46007</v>
      </c>
      <c r="B220" s="43" t="n">
        <v>25132.9395</v>
      </c>
      <c r="C220" s="43" t="n">
        <v>6958.4399</v>
      </c>
      <c r="D220" s="43" t="n">
        <v>49.8264</v>
      </c>
      <c r="E220" s="43" t="n">
        <v>20.3047</v>
      </c>
      <c r="F220" s="44" t="n">
        <v>103</v>
      </c>
      <c r="G220" s="44" t="n">
        <v>887</v>
      </c>
      <c r="H220" s="43" t="n">
        <v>13.0287</v>
      </c>
      <c r="I220" s="43" t="n">
        <v>19.8414</v>
      </c>
      <c r="J220" s="44" t="n">
        <v>298</v>
      </c>
      <c r="K22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0" s="46">
        <f>(Dashboard!$C$13*tblHistory[[#This Row],[NDX S]]+Dashboard!$C$14*tblHistory[[#This Row],[SOX S]]+Dashboard!$C$15*tblHistory[[#This Row],[AIQ S]])/(Dashboard!$C$13+Dashboard!$C$14+Dashboard!$C$15)*100</f>
        <v/>
      </c>
      <c r="U220" s="46">
        <f>(Dashboard!$C$16*tblHistory[[#This Row],[DTCR S]]+Dashboard!$C$17*tblHistory[[#This Row],[BBB S]]+Dashboard!$C$18*tblHistory[[#This Row],[CCC S]])/(Dashboard!$C$16+Dashboard!$C$17+Dashboard!$C$18)*100</f>
        <v/>
      </c>
      <c r="V220" s="46">
        <f>(Dashboard!$C$19*tblHistory[[#This Row],[BIZD S]]+Dashboard!$C$20*tblHistory[[#This Row],[BKLN S]]+Dashboard!$C$21*tblHistory[[#This Row],[HY S]])/(Dashboard!$C$19+Dashboard!$C$20+Dashboard!$C$21)*100</f>
        <v/>
      </c>
      <c r="W22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0" s="46">
        <f>IFERROR(--(tblHistory[[#This Row],[Score]]&gt;=50),0)</f>
        <v/>
      </c>
      <c r="Y220" s="46">
        <f>IFERROR(--AND(tblHistory[[#This Row],[Score]]&gt;=60,OR(AND(tblHistory[[#This Row],[BIZD S]]&gt;=0.8,tblHistory[[#This Row],[BKLN S]]&gt;=0.5),tblHistory[[#This Row],[CCC S]]&gt;=0.8)),0)</f>
        <v/>
      </c>
      <c r="Z220" s="46">
        <f>IFERROR(--AND(tblHistory[[#This Row],[Score]]&gt;=70,tblHistory[[#This Row],[SOX S]]&gt;=0.83,tblHistory[[#This Row],[AIQ S]]&gt;=0.8),0)</f>
        <v/>
      </c>
      <c r="AA22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1">
      <c r="A221" s="42" t="n">
        <v>46006</v>
      </c>
      <c r="B221" s="43" t="n">
        <v>25067.2695</v>
      </c>
      <c r="C221" s="43" t="n">
        <v>6990.4102</v>
      </c>
      <c r="D221" s="43" t="n">
        <v>49.8364</v>
      </c>
      <c r="E221" s="43" t="n">
        <v>20.473</v>
      </c>
      <c r="F221" s="44" t="n">
        <v>102</v>
      </c>
      <c r="G221" s="44" t="n">
        <v>879</v>
      </c>
      <c r="H221" s="43" t="n">
        <v>13.0731</v>
      </c>
      <c r="I221" s="43" t="n">
        <v>19.8414</v>
      </c>
      <c r="J221" s="44" t="n">
        <v>291</v>
      </c>
      <c r="K22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1" s="46">
        <f>(Dashboard!$C$13*tblHistory[[#This Row],[NDX S]]+Dashboard!$C$14*tblHistory[[#This Row],[SOX S]]+Dashboard!$C$15*tblHistory[[#This Row],[AIQ S]])/(Dashboard!$C$13+Dashboard!$C$14+Dashboard!$C$15)*100</f>
        <v/>
      </c>
      <c r="U221" s="46">
        <f>(Dashboard!$C$16*tblHistory[[#This Row],[DTCR S]]+Dashboard!$C$17*tblHistory[[#This Row],[BBB S]]+Dashboard!$C$18*tblHistory[[#This Row],[CCC S]])/(Dashboard!$C$16+Dashboard!$C$17+Dashboard!$C$18)*100</f>
        <v/>
      </c>
      <c r="V221" s="46">
        <f>(Dashboard!$C$19*tblHistory[[#This Row],[BIZD S]]+Dashboard!$C$20*tblHistory[[#This Row],[BKLN S]]+Dashboard!$C$21*tblHistory[[#This Row],[HY S]])/(Dashboard!$C$19+Dashboard!$C$20+Dashboard!$C$21)*100</f>
        <v/>
      </c>
      <c r="W22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1" s="46">
        <f>IFERROR(--(tblHistory[[#This Row],[Score]]&gt;=50),0)</f>
        <v/>
      </c>
      <c r="Y221" s="46">
        <f>IFERROR(--AND(tblHistory[[#This Row],[Score]]&gt;=60,OR(AND(tblHistory[[#This Row],[BIZD S]]&gt;=0.8,tblHistory[[#This Row],[BKLN S]]&gt;=0.5),tblHistory[[#This Row],[CCC S]]&gt;=0.8)),0)</f>
        <v/>
      </c>
      <c r="Z221" s="46">
        <f>IFERROR(--AND(tblHistory[[#This Row],[Score]]&gt;=70,tblHistory[[#This Row],[SOX S]]&gt;=0.83,tblHistory[[#This Row],[AIQ S]]&gt;=0.8),0)</f>
        <v/>
      </c>
      <c r="AA22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2">
      <c r="A222" s="42" t="n">
        <v>46003</v>
      </c>
      <c r="B222" s="43" t="n">
        <v>25196.7305</v>
      </c>
      <c r="C222" s="43" t="n">
        <v>7033.5698</v>
      </c>
      <c r="D222" s="43" t="n">
        <v>50.4758</v>
      </c>
      <c r="E222" s="43" t="n">
        <v>20.8987</v>
      </c>
      <c r="F222" s="44" t="n">
        <v>101</v>
      </c>
      <c r="G222" s="44" t="n">
        <v>876</v>
      </c>
      <c r="H222" s="43" t="n">
        <v>13.1618</v>
      </c>
      <c r="I222" s="43" t="n">
        <v>19.832</v>
      </c>
      <c r="J222" s="44" t="n">
        <v>291</v>
      </c>
      <c r="K22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2" s="46">
        <f>(Dashboard!$C$13*tblHistory[[#This Row],[NDX S]]+Dashboard!$C$14*tblHistory[[#This Row],[SOX S]]+Dashboard!$C$15*tblHistory[[#This Row],[AIQ S]])/(Dashboard!$C$13+Dashboard!$C$14+Dashboard!$C$15)*100</f>
        <v/>
      </c>
      <c r="U222" s="46">
        <f>(Dashboard!$C$16*tblHistory[[#This Row],[DTCR S]]+Dashboard!$C$17*tblHistory[[#This Row],[BBB S]]+Dashboard!$C$18*tblHistory[[#This Row],[CCC S]])/(Dashboard!$C$16+Dashboard!$C$17+Dashboard!$C$18)*100</f>
        <v/>
      </c>
      <c r="V222" s="46">
        <f>(Dashboard!$C$19*tblHistory[[#This Row],[BIZD S]]+Dashboard!$C$20*tblHistory[[#This Row],[BKLN S]]+Dashboard!$C$21*tblHistory[[#This Row],[HY S]])/(Dashboard!$C$19+Dashboard!$C$20+Dashboard!$C$21)*100</f>
        <v/>
      </c>
      <c r="W22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2" s="46">
        <f>IFERROR(--(tblHistory[[#This Row],[Score]]&gt;=50),0)</f>
        <v/>
      </c>
      <c r="Y222" s="46">
        <f>IFERROR(--AND(tblHistory[[#This Row],[Score]]&gt;=60,OR(AND(tblHistory[[#This Row],[BIZD S]]&gt;=0.8,tblHistory[[#This Row],[BKLN S]]&gt;=0.5),tblHistory[[#This Row],[CCC S]]&gt;=0.8)),0)</f>
        <v/>
      </c>
      <c r="Z222" s="46">
        <f>IFERROR(--AND(tblHistory[[#This Row],[Score]]&gt;=70,tblHistory[[#This Row],[SOX S]]&gt;=0.83,tblHistory[[#This Row],[AIQ S]]&gt;=0.8),0)</f>
        <v/>
      </c>
      <c r="AA22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3">
      <c r="A223" s="42" t="n">
        <v>46002</v>
      </c>
      <c r="B223" s="43" t="n">
        <v>25686.6895</v>
      </c>
      <c r="C223" s="43" t="n">
        <v>7411.48</v>
      </c>
      <c r="D223" s="43" t="n">
        <v>51.6348</v>
      </c>
      <c r="E223" s="43" t="n">
        <v>21.4432</v>
      </c>
      <c r="F223" s="44" t="n">
        <v>100</v>
      </c>
      <c r="G223" s="44" t="n">
        <v>877</v>
      </c>
      <c r="H223" s="43" t="n">
        <v>13.1795</v>
      </c>
      <c r="I223" s="43" t="n">
        <v>19.832</v>
      </c>
      <c r="J223" s="44" t="n">
        <v>288</v>
      </c>
      <c r="K22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3" s="46">
        <f>(Dashboard!$C$13*tblHistory[[#This Row],[NDX S]]+Dashboard!$C$14*tblHistory[[#This Row],[SOX S]]+Dashboard!$C$15*tblHistory[[#This Row],[AIQ S]])/(Dashboard!$C$13+Dashboard!$C$14+Dashboard!$C$15)*100</f>
        <v/>
      </c>
      <c r="U223" s="46">
        <f>(Dashboard!$C$16*tblHistory[[#This Row],[DTCR S]]+Dashboard!$C$17*tblHistory[[#This Row],[BBB S]]+Dashboard!$C$18*tblHistory[[#This Row],[CCC S]])/(Dashboard!$C$16+Dashboard!$C$17+Dashboard!$C$18)*100</f>
        <v/>
      </c>
      <c r="V223" s="46">
        <f>(Dashboard!$C$19*tblHistory[[#This Row],[BIZD S]]+Dashboard!$C$20*tblHistory[[#This Row],[BKLN S]]+Dashboard!$C$21*tblHistory[[#This Row],[HY S]])/(Dashboard!$C$19+Dashboard!$C$20+Dashboard!$C$21)*100</f>
        <v/>
      </c>
      <c r="W22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3" s="46">
        <f>IFERROR(--(tblHistory[[#This Row],[Score]]&gt;=50),0)</f>
        <v/>
      </c>
      <c r="Y223" s="46">
        <f>IFERROR(--AND(tblHistory[[#This Row],[Score]]&gt;=60,OR(AND(tblHistory[[#This Row],[BIZD S]]&gt;=0.8,tblHistory[[#This Row],[BKLN S]]&gt;=0.5),tblHistory[[#This Row],[CCC S]]&gt;=0.8)),0)</f>
        <v/>
      </c>
      <c r="Z223" s="46">
        <f>IFERROR(--AND(tblHistory[[#This Row],[Score]]&gt;=70,tblHistory[[#This Row],[SOX S]]&gt;=0.83,tblHistory[[#This Row],[AIQ S]]&gt;=0.8),0)</f>
        <v/>
      </c>
      <c r="AA22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4">
      <c r="A224" s="42" t="n">
        <v>46001</v>
      </c>
      <c r="B224" s="43" t="n">
        <v>25776.4395</v>
      </c>
      <c r="C224" s="43" t="n">
        <v>7467.4902</v>
      </c>
      <c r="D224" s="43" t="n">
        <v>52.0245</v>
      </c>
      <c r="E224" s="43" t="n">
        <v>21.4333</v>
      </c>
      <c r="F224" s="44" t="n">
        <v>100</v>
      </c>
      <c r="G224" s="44" t="n">
        <v>883</v>
      </c>
      <c r="H224" s="43" t="n">
        <v>13.348</v>
      </c>
      <c r="I224" s="43" t="n">
        <v>19.832</v>
      </c>
      <c r="J224" s="44" t="n">
        <v>291</v>
      </c>
      <c r="K22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4" s="46">
        <f>(Dashboard!$C$13*tblHistory[[#This Row],[NDX S]]+Dashboard!$C$14*tblHistory[[#This Row],[SOX S]]+Dashboard!$C$15*tblHistory[[#This Row],[AIQ S]])/(Dashboard!$C$13+Dashboard!$C$14+Dashboard!$C$15)*100</f>
        <v/>
      </c>
      <c r="U224" s="46">
        <f>(Dashboard!$C$16*tblHistory[[#This Row],[DTCR S]]+Dashboard!$C$17*tblHistory[[#This Row],[BBB S]]+Dashboard!$C$18*tblHistory[[#This Row],[CCC S]])/(Dashboard!$C$16+Dashboard!$C$17+Dashboard!$C$18)*100</f>
        <v/>
      </c>
      <c r="V224" s="46">
        <f>(Dashboard!$C$19*tblHistory[[#This Row],[BIZD S]]+Dashboard!$C$20*tblHistory[[#This Row],[BKLN S]]+Dashboard!$C$21*tblHistory[[#This Row],[HY S]])/(Dashboard!$C$19+Dashboard!$C$20+Dashboard!$C$21)*100</f>
        <v/>
      </c>
      <c r="W22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4" s="46">
        <f>IFERROR(--(tblHistory[[#This Row],[Score]]&gt;=50),0)</f>
        <v/>
      </c>
      <c r="Y224" s="46">
        <f>IFERROR(--AND(tblHistory[[#This Row],[Score]]&gt;=60,OR(AND(tblHistory[[#This Row],[BIZD S]]&gt;=0.8,tblHistory[[#This Row],[BKLN S]]&gt;=0.5),tblHistory[[#This Row],[CCC S]]&gt;=0.8)),0)</f>
        <v/>
      </c>
      <c r="Z224" s="46">
        <f>IFERROR(--AND(tblHistory[[#This Row],[Score]]&gt;=70,tblHistory[[#This Row],[SOX S]]&gt;=0.83,tblHistory[[#This Row],[AIQ S]]&gt;=0.8),0)</f>
        <v/>
      </c>
      <c r="AA22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5">
      <c r="A225" s="42" t="n">
        <v>46000</v>
      </c>
      <c r="B225" s="43" t="n">
        <v>25668.6895</v>
      </c>
      <c r="C225" s="43" t="n">
        <v>7372.5098</v>
      </c>
      <c r="D225" s="43" t="n">
        <v>51.6248</v>
      </c>
      <c r="E225" s="43" t="n">
        <v>21.562</v>
      </c>
      <c r="F225" s="44" t="n">
        <v>100</v>
      </c>
      <c r="G225" s="44" t="n">
        <v>876</v>
      </c>
      <c r="H225" s="43" t="n">
        <v>13.3126</v>
      </c>
      <c r="I225" s="43" t="n">
        <v>19.8131</v>
      </c>
      <c r="J225" s="44" t="n">
        <v>289</v>
      </c>
      <c r="K22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5" s="46">
        <f>(Dashboard!$C$13*tblHistory[[#This Row],[NDX S]]+Dashboard!$C$14*tblHistory[[#This Row],[SOX S]]+Dashboard!$C$15*tblHistory[[#This Row],[AIQ S]])/(Dashboard!$C$13+Dashboard!$C$14+Dashboard!$C$15)*100</f>
        <v/>
      </c>
      <c r="U225" s="46">
        <f>(Dashboard!$C$16*tblHistory[[#This Row],[DTCR S]]+Dashboard!$C$17*tblHistory[[#This Row],[BBB S]]+Dashboard!$C$18*tblHistory[[#This Row],[CCC S]])/(Dashboard!$C$16+Dashboard!$C$17+Dashboard!$C$18)*100</f>
        <v/>
      </c>
      <c r="V225" s="46">
        <f>(Dashboard!$C$19*tblHistory[[#This Row],[BIZD S]]+Dashboard!$C$20*tblHistory[[#This Row],[BKLN S]]+Dashboard!$C$21*tblHistory[[#This Row],[HY S]])/(Dashboard!$C$19+Dashboard!$C$20+Dashboard!$C$21)*100</f>
        <v/>
      </c>
      <c r="W22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5" s="46">
        <f>IFERROR(--(tblHistory[[#This Row],[Score]]&gt;=50),0)</f>
        <v/>
      </c>
      <c r="Y225" s="46">
        <f>IFERROR(--AND(tblHistory[[#This Row],[Score]]&gt;=60,OR(AND(tblHistory[[#This Row],[BIZD S]]&gt;=0.8,tblHistory[[#This Row],[BKLN S]]&gt;=0.5),tblHistory[[#This Row],[CCC S]]&gt;=0.8)),0)</f>
        <v/>
      </c>
      <c r="Z225" s="46">
        <f>IFERROR(--AND(tblHistory[[#This Row],[Score]]&gt;=70,tblHistory[[#This Row],[SOX S]]&gt;=0.83,tblHistory[[#This Row],[AIQ S]]&gt;=0.8),0)</f>
        <v/>
      </c>
      <c r="AA22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6">
      <c r="A226" s="42" t="n">
        <v>45999</v>
      </c>
      <c r="B226" s="43" t="n">
        <v>25627.9492</v>
      </c>
      <c r="C226" s="43" t="n">
        <v>7375.2202</v>
      </c>
      <c r="D226" s="43" t="n">
        <v>51.475</v>
      </c>
      <c r="E226" s="43" t="n">
        <v>21.5125</v>
      </c>
      <c r="F226" s="44" t="n">
        <v>100</v>
      </c>
      <c r="G226" s="44" t="n">
        <v>871</v>
      </c>
      <c r="H226" s="43" t="n">
        <v>13.2593</v>
      </c>
      <c r="I226" s="43" t="n">
        <v>19.8037</v>
      </c>
      <c r="J226" s="44" t="n">
        <v>289</v>
      </c>
      <c r="K22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6" s="46">
        <f>(Dashboard!$C$13*tblHistory[[#This Row],[NDX S]]+Dashboard!$C$14*tblHistory[[#This Row],[SOX S]]+Dashboard!$C$15*tblHistory[[#This Row],[AIQ S]])/(Dashboard!$C$13+Dashboard!$C$14+Dashboard!$C$15)*100</f>
        <v/>
      </c>
      <c r="U226" s="46">
        <f>(Dashboard!$C$16*tblHistory[[#This Row],[DTCR S]]+Dashboard!$C$17*tblHistory[[#This Row],[BBB S]]+Dashboard!$C$18*tblHistory[[#This Row],[CCC S]])/(Dashboard!$C$16+Dashboard!$C$17+Dashboard!$C$18)*100</f>
        <v/>
      </c>
      <c r="V226" s="46">
        <f>(Dashboard!$C$19*tblHistory[[#This Row],[BIZD S]]+Dashboard!$C$20*tblHistory[[#This Row],[BKLN S]]+Dashboard!$C$21*tblHistory[[#This Row],[HY S]])/(Dashboard!$C$19+Dashboard!$C$20+Dashboard!$C$21)*100</f>
        <v/>
      </c>
      <c r="W22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6" s="46">
        <f>IFERROR(--(tblHistory[[#This Row],[Score]]&gt;=50),0)</f>
        <v/>
      </c>
      <c r="Y226" s="46">
        <f>IFERROR(--AND(tblHistory[[#This Row],[Score]]&gt;=60,OR(AND(tblHistory[[#This Row],[BIZD S]]&gt;=0.8,tblHistory[[#This Row],[BKLN S]]&gt;=0.5),tblHistory[[#This Row],[CCC S]]&gt;=0.8)),0)</f>
        <v/>
      </c>
      <c r="Z226" s="46">
        <f>IFERROR(--AND(tblHistory[[#This Row],[Score]]&gt;=70,tblHistory[[#This Row],[SOX S]]&gt;=0.83,tblHistory[[#This Row],[AIQ S]]&gt;=0.8),0)</f>
        <v/>
      </c>
      <c r="AA22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7">
      <c r="A227" s="42" t="n">
        <v>45996</v>
      </c>
      <c r="B227" s="43" t="n">
        <v>25692.0508</v>
      </c>
      <c r="C227" s="43" t="n">
        <v>7294.8398</v>
      </c>
      <c r="D227" s="43" t="n">
        <v>51.435</v>
      </c>
      <c r="E227" s="43" t="n">
        <v>21.1363</v>
      </c>
      <c r="F227" s="44" t="n">
        <v>101</v>
      </c>
      <c r="G227" s="44" t="n">
        <v>868</v>
      </c>
      <c r="H227" s="43" t="n">
        <v>13.2239</v>
      </c>
      <c r="I227" s="43" t="n">
        <v>19.7848</v>
      </c>
      <c r="J227" s="44" t="n">
        <v>285</v>
      </c>
      <c r="K22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7" s="46">
        <f>(Dashboard!$C$13*tblHistory[[#This Row],[NDX S]]+Dashboard!$C$14*tblHistory[[#This Row],[SOX S]]+Dashboard!$C$15*tblHistory[[#This Row],[AIQ S]])/(Dashboard!$C$13+Dashboard!$C$14+Dashboard!$C$15)*100</f>
        <v/>
      </c>
      <c r="U227" s="46">
        <f>(Dashboard!$C$16*tblHistory[[#This Row],[DTCR S]]+Dashboard!$C$17*tblHistory[[#This Row],[BBB S]]+Dashboard!$C$18*tblHistory[[#This Row],[CCC S]])/(Dashboard!$C$16+Dashboard!$C$17+Dashboard!$C$18)*100</f>
        <v/>
      </c>
      <c r="V227" s="46">
        <f>(Dashboard!$C$19*tblHistory[[#This Row],[BIZD S]]+Dashboard!$C$20*tblHistory[[#This Row],[BKLN S]]+Dashboard!$C$21*tblHistory[[#This Row],[HY S]])/(Dashboard!$C$19+Dashboard!$C$20+Dashboard!$C$21)*100</f>
        <v/>
      </c>
      <c r="W22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7" s="46">
        <f>IFERROR(--(tblHistory[[#This Row],[Score]]&gt;=50),0)</f>
        <v/>
      </c>
      <c r="Y227" s="46">
        <f>IFERROR(--AND(tblHistory[[#This Row],[Score]]&gt;=60,OR(AND(tblHistory[[#This Row],[BIZD S]]&gt;=0.8,tblHistory[[#This Row],[BKLN S]]&gt;=0.5),tblHistory[[#This Row],[CCC S]]&gt;=0.8)),0)</f>
        <v/>
      </c>
      <c r="Z227" s="46">
        <f>IFERROR(--AND(tblHistory[[#This Row],[Score]]&gt;=70,tblHistory[[#This Row],[SOX S]]&gt;=0.83,tblHistory[[#This Row],[AIQ S]]&gt;=0.8),0)</f>
        <v/>
      </c>
      <c r="AA22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8">
      <c r="A228" s="42" t="n">
        <v>45995</v>
      </c>
      <c r="B228" s="43" t="n">
        <v>25581.6992</v>
      </c>
      <c r="C228" s="43" t="n">
        <v>7215.9702</v>
      </c>
      <c r="D228" s="43" t="n">
        <v>50.9055</v>
      </c>
      <c r="E228" s="43" t="n">
        <v>20.8591</v>
      </c>
      <c r="F228" s="44" t="n">
        <v>102</v>
      </c>
      <c r="G228" s="44" t="n">
        <v>878</v>
      </c>
      <c r="H228" s="43" t="n">
        <v>13.1884</v>
      </c>
      <c r="I228" s="43" t="n">
        <v>19.7753</v>
      </c>
      <c r="J228" s="44" t="n">
        <v>288</v>
      </c>
      <c r="K22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8" s="46">
        <f>(Dashboard!$C$13*tblHistory[[#This Row],[NDX S]]+Dashboard!$C$14*tblHistory[[#This Row],[SOX S]]+Dashboard!$C$15*tblHistory[[#This Row],[AIQ S]])/(Dashboard!$C$13+Dashboard!$C$14+Dashboard!$C$15)*100</f>
        <v/>
      </c>
      <c r="U228" s="46">
        <f>(Dashboard!$C$16*tblHistory[[#This Row],[DTCR S]]+Dashboard!$C$17*tblHistory[[#This Row],[BBB S]]+Dashboard!$C$18*tblHistory[[#This Row],[CCC S]])/(Dashboard!$C$16+Dashboard!$C$17+Dashboard!$C$18)*100</f>
        <v/>
      </c>
      <c r="V228" s="46">
        <f>(Dashboard!$C$19*tblHistory[[#This Row],[BIZD S]]+Dashboard!$C$20*tblHistory[[#This Row],[BKLN S]]+Dashboard!$C$21*tblHistory[[#This Row],[HY S]])/(Dashboard!$C$19+Dashboard!$C$20+Dashboard!$C$21)*100</f>
        <v/>
      </c>
      <c r="W22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8" s="46">
        <f>IFERROR(--(tblHistory[[#This Row],[Score]]&gt;=50),0)</f>
        <v/>
      </c>
      <c r="Y228" s="46">
        <f>IFERROR(--AND(tblHistory[[#This Row],[Score]]&gt;=60,OR(AND(tblHistory[[#This Row],[BIZD S]]&gt;=0.8,tblHistory[[#This Row],[BKLN S]]&gt;=0.5),tblHistory[[#This Row],[CCC S]]&gt;=0.8)),0)</f>
        <v/>
      </c>
      <c r="Z228" s="46">
        <f>IFERROR(--AND(tblHistory[[#This Row],[Score]]&gt;=70,tblHistory[[#This Row],[SOX S]]&gt;=0.83,tblHistory[[#This Row],[AIQ S]]&gt;=0.8),0)</f>
        <v/>
      </c>
      <c r="AA22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29">
      <c r="A229" s="42" t="n">
        <v>45994</v>
      </c>
      <c r="B229" s="43" t="n">
        <v>25606.5391</v>
      </c>
      <c r="C229" s="43" t="n">
        <v>7280.5098</v>
      </c>
      <c r="D229" s="43" t="n">
        <v>50.7956</v>
      </c>
      <c r="E229" s="43" t="n">
        <v>20.7601</v>
      </c>
      <c r="F229" s="44" t="n">
        <v>103</v>
      </c>
      <c r="G229" s="44" t="n">
        <v>879</v>
      </c>
      <c r="H229" s="43" t="n">
        <v>13.1086</v>
      </c>
      <c r="I229" s="43" t="n">
        <v>19.7376</v>
      </c>
      <c r="J229" s="44" t="n">
        <v>289</v>
      </c>
      <c r="K22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2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2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2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2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2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2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2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2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29" s="46">
        <f>(Dashboard!$C$13*tblHistory[[#This Row],[NDX S]]+Dashboard!$C$14*tblHistory[[#This Row],[SOX S]]+Dashboard!$C$15*tblHistory[[#This Row],[AIQ S]])/(Dashboard!$C$13+Dashboard!$C$14+Dashboard!$C$15)*100</f>
        <v/>
      </c>
      <c r="U229" s="46">
        <f>(Dashboard!$C$16*tblHistory[[#This Row],[DTCR S]]+Dashboard!$C$17*tblHistory[[#This Row],[BBB S]]+Dashboard!$C$18*tblHistory[[#This Row],[CCC S]])/(Dashboard!$C$16+Dashboard!$C$17+Dashboard!$C$18)*100</f>
        <v/>
      </c>
      <c r="V229" s="46">
        <f>(Dashboard!$C$19*tblHistory[[#This Row],[BIZD S]]+Dashboard!$C$20*tblHistory[[#This Row],[BKLN S]]+Dashboard!$C$21*tblHistory[[#This Row],[HY S]])/(Dashboard!$C$19+Dashboard!$C$20+Dashboard!$C$21)*100</f>
        <v/>
      </c>
      <c r="W22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29" s="46">
        <f>IFERROR(--(tblHistory[[#This Row],[Score]]&gt;=50),0)</f>
        <v/>
      </c>
      <c r="Y229" s="46">
        <f>IFERROR(--AND(tblHistory[[#This Row],[Score]]&gt;=60,OR(AND(tblHistory[[#This Row],[BIZD S]]&gt;=0.8,tblHistory[[#This Row],[BKLN S]]&gt;=0.5),tblHistory[[#This Row],[CCC S]]&gt;=0.8)),0)</f>
        <v/>
      </c>
      <c r="Z229" s="46">
        <f>IFERROR(--AND(tblHistory[[#This Row],[Score]]&gt;=70,tblHistory[[#This Row],[SOX S]]&gt;=0.83,tblHistory[[#This Row],[AIQ S]]&gt;=0.8),0)</f>
        <v/>
      </c>
      <c r="AA22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2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2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2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2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0">
      <c r="A230" s="42" t="n">
        <v>45993</v>
      </c>
      <c r="B230" s="43" t="n">
        <v>25555.8594</v>
      </c>
      <c r="C230" s="43" t="n">
        <v>7149.4702</v>
      </c>
      <c r="D230" s="43" t="n">
        <v>50.3959</v>
      </c>
      <c r="E230" s="43" t="n">
        <v>20.572</v>
      </c>
      <c r="F230" s="44" t="n">
        <v>103</v>
      </c>
      <c r="G230" s="44" t="n">
        <v>897</v>
      </c>
      <c r="H230" s="43" t="n">
        <v>12.8957</v>
      </c>
      <c r="I230" s="43" t="n">
        <v>19.7187</v>
      </c>
      <c r="J230" s="44" t="n">
        <v>292</v>
      </c>
      <c r="K23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0" s="46">
        <f>(Dashboard!$C$13*tblHistory[[#This Row],[NDX S]]+Dashboard!$C$14*tblHistory[[#This Row],[SOX S]]+Dashboard!$C$15*tblHistory[[#This Row],[AIQ S]])/(Dashboard!$C$13+Dashboard!$C$14+Dashboard!$C$15)*100</f>
        <v/>
      </c>
      <c r="U230" s="46">
        <f>(Dashboard!$C$16*tblHistory[[#This Row],[DTCR S]]+Dashboard!$C$17*tblHistory[[#This Row],[BBB S]]+Dashboard!$C$18*tblHistory[[#This Row],[CCC S]])/(Dashboard!$C$16+Dashboard!$C$17+Dashboard!$C$18)*100</f>
        <v/>
      </c>
      <c r="V230" s="46">
        <f>(Dashboard!$C$19*tblHistory[[#This Row],[BIZD S]]+Dashboard!$C$20*tblHistory[[#This Row],[BKLN S]]+Dashboard!$C$21*tblHistory[[#This Row],[HY S]])/(Dashboard!$C$19+Dashboard!$C$20+Dashboard!$C$21)*100</f>
        <v/>
      </c>
      <c r="W23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0" s="46">
        <f>IFERROR(--(tblHistory[[#This Row],[Score]]&gt;=50),0)</f>
        <v/>
      </c>
      <c r="Y230" s="46">
        <f>IFERROR(--AND(tblHistory[[#This Row],[Score]]&gt;=60,OR(AND(tblHistory[[#This Row],[BIZD S]]&gt;=0.8,tblHistory[[#This Row],[BKLN S]]&gt;=0.5),tblHistory[[#This Row],[CCC S]]&gt;=0.8)),0)</f>
        <v/>
      </c>
      <c r="Z230" s="46">
        <f>IFERROR(--AND(tblHistory[[#This Row],[Score]]&gt;=70,tblHistory[[#This Row],[SOX S]]&gt;=0.83,tblHistory[[#This Row],[AIQ S]]&gt;=0.8),0)</f>
        <v/>
      </c>
      <c r="AA23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1">
      <c r="A231" s="42" t="n">
        <v>45992</v>
      </c>
      <c r="B231" s="43" t="n">
        <v>25342.8496</v>
      </c>
      <c r="C231" s="43" t="n">
        <v>7020.5298</v>
      </c>
      <c r="D231" s="43" t="n">
        <v>50.0862</v>
      </c>
      <c r="E231" s="43" t="n">
        <v>20.5522</v>
      </c>
      <c r="F231" s="44" t="n">
        <v>104</v>
      </c>
      <c r="G231" s="44" t="n">
        <v>897</v>
      </c>
      <c r="H231" s="43" t="n">
        <v>12.9134</v>
      </c>
      <c r="I231" s="43" t="n">
        <v>19.7281</v>
      </c>
      <c r="J231" s="44" t="n">
        <v>294</v>
      </c>
      <c r="K23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1" s="46">
        <f>(Dashboard!$C$13*tblHistory[[#This Row],[NDX S]]+Dashboard!$C$14*tblHistory[[#This Row],[SOX S]]+Dashboard!$C$15*tblHistory[[#This Row],[AIQ S]])/(Dashboard!$C$13+Dashboard!$C$14+Dashboard!$C$15)*100</f>
        <v/>
      </c>
      <c r="U231" s="46">
        <f>(Dashboard!$C$16*tblHistory[[#This Row],[DTCR S]]+Dashboard!$C$17*tblHistory[[#This Row],[BBB S]]+Dashboard!$C$18*tblHistory[[#This Row],[CCC S]])/(Dashboard!$C$16+Dashboard!$C$17+Dashboard!$C$18)*100</f>
        <v/>
      </c>
      <c r="V231" s="46">
        <f>(Dashboard!$C$19*tblHistory[[#This Row],[BIZD S]]+Dashboard!$C$20*tblHistory[[#This Row],[BKLN S]]+Dashboard!$C$21*tblHistory[[#This Row],[HY S]])/(Dashboard!$C$19+Dashboard!$C$20+Dashboard!$C$21)*100</f>
        <v/>
      </c>
      <c r="W23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1" s="46">
        <f>IFERROR(--(tblHistory[[#This Row],[Score]]&gt;=50),0)</f>
        <v/>
      </c>
      <c r="Y231" s="46">
        <f>IFERROR(--AND(tblHistory[[#This Row],[Score]]&gt;=60,OR(AND(tblHistory[[#This Row],[BIZD S]]&gt;=0.8,tblHistory[[#This Row],[BKLN S]]&gt;=0.5),tblHistory[[#This Row],[CCC S]]&gt;=0.8)),0)</f>
        <v/>
      </c>
      <c r="Z231" s="46">
        <f>IFERROR(--AND(tblHistory[[#This Row],[Score]]&gt;=70,tblHistory[[#This Row],[SOX S]]&gt;=0.83,tblHistory[[#This Row],[AIQ S]]&gt;=0.8),0)</f>
        <v/>
      </c>
      <c r="AA23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2">
      <c r="A232" s="42" t="n">
        <v>45989</v>
      </c>
      <c r="B232" s="43" t="n">
        <v>25434.8906</v>
      </c>
      <c r="C232" s="43" t="n">
        <v>7025.1499</v>
      </c>
      <c r="D232" s="43" t="n">
        <v>50.0962</v>
      </c>
      <c r="E232" s="43" t="n">
        <v>20.7007</v>
      </c>
      <c r="F232" s="44" t="n">
        <v>104</v>
      </c>
      <c r="G232" s="44" t="n">
        <v>917</v>
      </c>
      <c r="H232" s="43" t="n">
        <v>12.9844</v>
      </c>
      <c r="I232" s="43" t="n">
        <v>19.747</v>
      </c>
      <c r="J232" s="44" t="n">
        <v>295</v>
      </c>
      <c r="K23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2" s="46">
        <f>(Dashboard!$C$13*tblHistory[[#This Row],[NDX S]]+Dashboard!$C$14*tblHistory[[#This Row],[SOX S]]+Dashboard!$C$15*tblHistory[[#This Row],[AIQ S]])/(Dashboard!$C$13+Dashboard!$C$14+Dashboard!$C$15)*100</f>
        <v/>
      </c>
      <c r="U232" s="46">
        <f>(Dashboard!$C$16*tblHistory[[#This Row],[DTCR S]]+Dashboard!$C$17*tblHistory[[#This Row],[BBB S]]+Dashboard!$C$18*tblHistory[[#This Row],[CCC S]])/(Dashboard!$C$16+Dashboard!$C$17+Dashboard!$C$18)*100</f>
        <v/>
      </c>
      <c r="V232" s="46">
        <f>(Dashboard!$C$19*tblHistory[[#This Row],[BIZD S]]+Dashboard!$C$20*tblHistory[[#This Row],[BKLN S]]+Dashboard!$C$21*tblHistory[[#This Row],[HY S]])/(Dashboard!$C$19+Dashboard!$C$20+Dashboard!$C$21)*100</f>
        <v/>
      </c>
      <c r="W23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2" s="46">
        <f>IFERROR(--(tblHistory[[#This Row],[Score]]&gt;=50),0)</f>
        <v/>
      </c>
      <c r="Y232" s="46">
        <f>IFERROR(--AND(tblHistory[[#This Row],[Score]]&gt;=60,OR(AND(tblHistory[[#This Row],[BIZD S]]&gt;=0.8,tblHistory[[#This Row],[BKLN S]]&gt;=0.5),tblHistory[[#This Row],[CCC S]]&gt;=0.8)),0)</f>
        <v/>
      </c>
      <c r="Z232" s="46">
        <f>IFERROR(--AND(tblHistory[[#This Row],[Score]]&gt;=70,tblHistory[[#This Row],[SOX S]]&gt;=0.83,tblHistory[[#This Row],[AIQ S]]&gt;=0.8),0)</f>
        <v/>
      </c>
      <c r="AA23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3">
      <c r="A233" s="42" t="n">
        <v>45987</v>
      </c>
      <c r="B233" s="43" t="n">
        <v>25236.9395</v>
      </c>
      <c r="C233" s="43" t="n">
        <v>6899.46</v>
      </c>
      <c r="D233" s="43" t="n">
        <v>49.6266</v>
      </c>
      <c r="E233" s="43" t="n">
        <v>20.3344</v>
      </c>
      <c r="F233" s="44" t="n">
        <v>105</v>
      </c>
      <c r="G233" s="44" t="n">
        <v>914</v>
      </c>
      <c r="H233" s="43" t="n">
        <v>12.9046</v>
      </c>
      <c r="I233" s="43" t="n">
        <v>19.7187</v>
      </c>
      <c r="J233" s="44" t="n">
        <v>300</v>
      </c>
      <c r="K23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3" s="46">
        <f>(Dashboard!$C$13*tblHistory[[#This Row],[NDX S]]+Dashboard!$C$14*tblHistory[[#This Row],[SOX S]]+Dashboard!$C$15*tblHistory[[#This Row],[AIQ S]])/(Dashboard!$C$13+Dashboard!$C$14+Dashboard!$C$15)*100</f>
        <v/>
      </c>
      <c r="U233" s="46">
        <f>(Dashboard!$C$16*tblHistory[[#This Row],[DTCR S]]+Dashboard!$C$17*tblHistory[[#This Row],[BBB S]]+Dashboard!$C$18*tblHistory[[#This Row],[CCC S]])/(Dashboard!$C$16+Dashboard!$C$17+Dashboard!$C$18)*100</f>
        <v/>
      </c>
      <c r="V233" s="46">
        <f>(Dashboard!$C$19*tblHistory[[#This Row],[BIZD S]]+Dashboard!$C$20*tblHistory[[#This Row],[BKLN S]]+Dashboard!$C$21*tblHistory[[#This Row],[HY S]])/(Dashboard!$C$19+Dashboard!$C$20+Dashboard!$C$21)*100</f>
        <v/>
      </c>
      <c r="W23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3" s="46">
        <f>IFERROR(--(tblHistory[[#This Row],[Score]]&gt;=50),0)</f>
        <v/>
      </c>
      <c r="Y233" s="46">
        <f>IFERROR(--AND(tblHistory[[#This Row],[Score]]&gt;=60,OR(AND(tblHistory[[#This Row],[BIZD S]]&gt;=0.8,tblHistory[[#This Row],[BKLN S]]&gt;=0.5),tblHistory[[#This Row],[CCC S]]&gt;=0.8)),0)</f>
        <v/>
      </c>
      <c r="Z233" s="46">
        <f>IFERROR(--AND(tblHistory[[#This Row],[Score]]&gt;=70,tblHistory[[#This Row],[SOX S]]&gt;=0.83,tblHistory[[#This Row],[AIQ S]]&gt;=0.8),0)</f>
        <v/>
      </c>
      <c r="AA23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4">
      <c r="A234" s="42" t="n">
        <v>45986</v>
      </c>
      <c r="B234" s="43" t="n">
        <v>25018.3594</v>
      </c>
      <c r="C234" s="43" t="n">
        <v>6714.1802</v>
      </c>
      <c r="D234" s="43" t="n">
        <v>49.207</v>
      </c>
      <c r="E234" s="43" t="n">
        <v>20.1166</v>
      </c>
      <c r="F234" s="44" t="n">
        <v>107</v>
      </c>
      <c r="G234" s="44" t="n">
        <v>916</v>
      </c>
      <c r="H234" s="43" t="n">
        <v>12.7715</v>
      </c>
      <c r="I234" s="43" t="n">
        <v>19.7093</v>
      </c>
      <c r="J234" s="44" t="n">
        <v>310</v>
      </c>
      <c r="K23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4" s="46">
        <f>(Dashboard!$C$13*tblHistory[[#This Row],[NDX S]]+Dashboard!$C$14*tblHistory[[#This Row],[SOX S]]+Dashboard!$C$15*tblHistory[[#This Row],[AIQ S]])/(Dashboard!$C$13+Dashboard!$C$14+Dashboard!$C$15)*100</f>
        <v/>
      </c>
      <c r="U234" s="46">
        <f>(Dashboard!$C$16*tblHistory[[#This Row],[DTCR S]]+Dashboard!$C$17*tblHistory[[#This Row],[BBB S]]+Dashboard!$C$18*tblHistory[[#This Row],[CCC S]])/(Dashboard!$C$16+Dashboard!$C$17+Dashboard!$C$18)*100</f>
        <v/>
      </c>
      <c r="V234" s="46">
        <f>(Dashboard!$C$19*tblHistory[[#This Row],[BIZD S]]+Dashboard!$C$20*tblHistory[[#This Row],[BKLN S]]+Dashboard!$C$21*tblHistory[[#This Row],[HY S]])/(Dashboard!$C$19+Dashboard!$C$20+Dashboard!$C$21)*100</f>
        <v/>
      </c>
      <c r="W23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4" s="46">
        <f>IFERROR(--(tblHistory[[#This Row],[Score]]&gt;=50),0)</f>
        <v/>
      </c>
      <c r="Y234" s="46">
        <f>IFERROR(--AND(tblHistory[[#This Row],[Score]]&gt;=60,OR(AND(tblHistory[[#This Row],[BIZD S]]&gt;=0.8,tblHistory[[#This Row],[BKLN S]]&gt;=0.5),tblHistory[[#This Row],[CCC S]]&gt;=0.8)),0)</f>
        <v/>
      </c>
      <c r="Z234" s="46">
        <f>IFERROR(--AND(tblHistory[[#This Row],[Score]]&gt;=70,tblHistory[[#This Row],[SOX S]]&gt;=0.83,tblHistory[[#This Row],[AIQ S]]&gt;=0.8),0)</f>
        <v/>
      </c>
      <c r="AA23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5">
      <c r="A235" s="42" t="n">
        <v>45985</v>
      </c>
      <c r="B235" s="43" t="n">
        <v>24873.8496</v>
      </c>
      <c r="C235" s="43" t="n">
        <v>6703.2002</v>
      </c>
      <c r="D235" s="43" t="n">
        <v>49.0671</v>
      </c>
      <c r="E235" s="43" t="n">
        <v>20.1067</v>
      </c>
      <c r="F235" s="44" t="n">
        <v>108</v>
      </c>
      <c r="G235" s="44" t="n">
        <v>919</v>
      </c>
      <c r="H235" s="43" t="n">
        <v>12.6208</v>
      </c>
      <c r="I235" s="43" t="n">
        <v>19.6715</v>
      </c>
      <c r="J235" s="44" t="n">
        <v>315</v>
      </c>
      <c r="K23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5" s="46">
        <f>(Dashboard!$C$13*tblHistory[[#This Row],[NDX S]]+Dashboard!$C$14*tblHistory[[#This Row],[SOX S]]+Dashboard!$C$15*tblHistory[[#This Row],[AIQ S]])/(Dashboard!$C$13+Dashboard!$C$14+Dashboard!$C$15)*100</f>
        <v/>
      </c>
      <c r="U235" s="46">
        <f>(Dashboard!$C$16*tblHistory[[#This Row],[DTCR S]]+Dashboard!$C$17*tblHistory[[#This Row],[BBB S]]+Dashboard!$C$18*tblHistory[[#This Row],[CCC S]])/(Dashboard!$C$16+Dashboard!$C$17+Dashboard!$C$18)*100</f>
        <v/>
      </c>
      <c r="V235" s="46">
        <f>(Dashboard!$C$19*tblHistory[[#This Row],[BIZD S]]+Dashboard!$C$20*tblHistory[[#This Row],[BKLN S]]+Dashboard!$C$21*tblHistory[[#This Row],[HY S]])/(Dashboard!$C$19+Dashboard!$C$20+Dashboard!$C$21)*100</f>
        <v/>
      </c>
      <c r="W23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5" s="46">
        <f>IFERROR(--(tblHistory[[#This Row],[Score]]&gt;=50),0)</f>
        <v/>
      </c>
      <c r="Y235" s="46">
        <f>IFERROR(--AND(tblHistory[[#This Row],[Score]]&gt;=60,OR(AND(tblHistory[[#This Row],[BIZD S]]&gt;=0.8,tblHistory[[#This Row],[BKLN S]]&gt;=0.5),tblHistory[[#This Row],[CCC S]]&gt;=0.8)),0)</f>
        <v/>
      </c>
      <c r="Z235" s="46">
        <f>IFERROR(--AND(tblHistory[[#This Row],[Score]]&gt;=70,tblHistory[[#This Row],[SOX S]]&gt;=0.83,tblHistory[[#This Row],[AIQ S]]&gt;=0.8),0)</f>
        <v/>
      </c>
      <c r="AA23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6">
      <c r="A236" s="42" t="n">
        <v>45982</v>
      </c>
      <c r="B236" s="43" t="n">
        <v>24239.5703</v>
      </c>
      <c r="C236" s="43" t="n">
        <v>6406.4302</v>
      </c>
      <c r="D236" s="43" t="n">
        <v>47.5584</v>
      </c>
      <c r="E236" s="43" t="n">
        <v>19.5325</v>
      </c>
      <c r="F236" s="44" t="n">
        <v>109</v>
      </c>
      <c r="G236" s="44" t="n">
        <v>920</v>
      </c>
      <c r="H236" s="43" t="n">
        <v>12.4523</v>
      </c>
      <c r="I236" s="43" t="n">
        <v>19.6432</v>
      </c>
      <c r="J236" s="44" t="n">
        <v>319</v>
      </c>
      <c r="K23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6" s="46">
        <f>(Dashboard!$C$13*tblHistory[[#This Row],[NDX S]]+Dashboard!$C$14*tblHistory[[#This Row],[SOX S]]+Dashboard!$C$15*tblHistory[[#This Row],[AIQ S]])/(Dashboard!$C$13+Dashboard!$C$14+Dashboard!$C$15)*100</f>
        <v/>
      </c>
      <c r="U236" s="46">
        <f>(Dashboard!$C$16*tblHistory[[#This Row],[DTCR S]]+Dashboard!$C$17*tblHistory[[#This Row],[BBB S]]+Dashboard!$C$18*tblHistory[[#This Row],[CCC S]])/(Dashboard!$C$16+Dashboard!$C$17+Dashboard!$C$18)*100</f>
        <v/>
      </c>
      <c r="V236" s="46">
        <f>(Dashboard!$C$19*tblHistory[[#This Row],[BIZD S]]+Dashboard!$C$20*tblHistory[[#This Row],[BKLN S]]+Dashboard!$C$21*tblHistory[[#This Row],[HY S]])/(Dashboard!$C$19+Dashboard!$C$20+Dashboard!$C$21)*100</f>
        <v/>
      </c>
      <c r="W23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6" s="46">
        <f>IFERROR(--(tblHistory[[#This Row],[Score]]&gt;=50),0)</f>
        <v/>
      </c>
      <c r="Y236" s="46">
        <f>IFERROR(--AND(tblHistory[[#This Row],[Score]]&gt;=60,OR(AND(tblHistory[[#This Row],[BIZD S]]&gt;=0.8,tblHistory[[#This Row],[BKLN S]]&gt;=0.5),tblHistory[[#This Row],[CCC S]]&gt;=0.8)),0)</f>
        <v/>
      </c>
      <c r="Z236" s="46">
        <f>IFERROR(--AND(tblHistory[[#This Row],[Score]]&gt;=70,tblHistory[[#This Row],[SOX S]]&gt;=0.83,tblHistory[[#This Row],[AIQ S]]&gt;=0.8),0)</f>
        <v/>
      </c>
      <c r="AA23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7">
      <c r="A237" s="42" t="n">
        <v>45981</v>
      </c>
      <c r="B237" s="43" t="n">
        <v>24054.3809</v>
      </c>
      <c r="C237" s="43" t="n">
        <v>6352.0698</v>
      </c>
      <c r="D237" s="43" t="n">
        <v>47.2886</v>
      </c>
      <c r="E237" s="43" t="n">
        <v>19.5622</v>
      </c>
      <c r="F237" s="44" t="n">
        <v>108</v>
      </c>
      <c r="G237" s="44" t="n">
        <v>920</v>
      </c>
      <c r="H237" s="43" t="n">
        <v>12.2483</v>
      </c>
      <c r="I237" s="43" t="n">
        <v>19.6244</v>
      </c>
      <c r="J237" s="44" t="n">
        <v>317</v>
      </c>
      <c r="K23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7" s="46">
        <f>(Dashboard!$C$13*tblHistory[[#This Row],[NDX S]]+Dashboard!$C$14*tblHistory[[#This Row],[SOX S]]+Dashboard!$C$15*tblHistory[[#This Row],[AIQ S]])/(Dashboard!$C$13+Dashboard!$C$14+Dashboard!$C$15)*100</f>
        <v/>
      </c>
      <c r="U237" s="46">
        <f>(Dashboard!$C$16*tblHistory[[#This Row],[DTCR S]]+Dashboard!$C$17*tblHistory[[#This Row],[BBB S]]+Dashboard!$C$18*tblHistory[[#This Row],[CCC S]])/(Dashboard!$C$16+Dashboard!$C$17+Dashboard!$C$18)*100</f>
        <v/>
      </c>
      <c r="V237" s="46">
        <f>(Dashboard!$C$19*tblHistory[[#This Row],[BIZD S]]+Dashboard!$C$20*tblHistory[[#This Row],[BKLN S]]+Dashboard!$C$21*tblHistory[[#This Row],[HY S]])/(Dashboard!$C$19+Dashboard!$C$20+Dashboard!$C$21)*100</f>
        <v/>
      </c>
      <c r="W23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7" s="46">
        <f>IFERROR(--(tblHistory[[#This Row],[Score]]&gt;=50),0)</f>
        <v/>
      </c>
      <c r="Y237" s="46">
        <f>IFERROR(--AND(tblHistory[[#This Row],[Score]]&gt;=60,OR(AND(tblHistory[[#This Row],[BIZD S]]&gt;=0.8,tblHistory[[#This Row],[BKLN S]]&gt;=0.5),tblHistory[[#This Row],[CCC S]]&gt;=0.8)),0)</f>
        <v/>
      </c>
      <c r="Z237" s="46">
        <f>IFERROR(--AND(tblHistory[[#This Row],[Score]]&gt;=70,tblHistory[[#This Row],[SOX S]]&gt;=0.83,tblHistory[[#This Row],[AIQ S]]&gt;=0.8),0)</f>
        <v/>
      </c>
      <c r="AA23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8">
      <c r="A238" s="42" t="n">
        <v>45980</v>
      </c>
      <c r="B238" s="43" t="n">
        <v>24640.5195</v>
      </c>
      <c r="C238" s="43" t="n">
        <v>6670.0298</v>
      </c>
      <c r="D238" s="43" t="n">
        <v>48.7474</v>
      </c>
      <c r="E238" s="43" t="n">
        <v>20.1265</v>
      </c>
      <c r="F238" s="44" t="n">
        <v>107</v>
      </c>
      <c r="G238" s="44" t="n">
        <v>919</v>
      </c>
      <c r="H238" s="43" t="n">
        <v>12.3192</v>
      </c>
      <c r="I238" s="43" t="n">
        <v>19.6338</v>
      </c>
      <c r="J238" s="44" t="n">
        <v>317</v>
      </c>
      <c r="K23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8" s="46">
        <f>(Dashboard!$C$13*tblHistory[[#This Row],[NDX S]]+Dashboard!$C$14*tblHistory[[#This Row],[SOX S]]+Dashboard!$C$15*tblHistory[[#This Row],[AIQ S]])/(Dashboard!$C$13+Dashboard!$C$14+Dashboard!$C$15)*100</f>
        <v/>
      </c>
      <c r="U238" s="46">
        <f>(Dashboard!$C$16*tblHistory[[#This Row],[DTCR S]]+Dashboard!$C$17*tblHistory[[#This Row],[BBB S]]+Dashboard!$C$18*tblHistory[[#This Row],[CCC S]])/(Dashboard!$C$16+Dashboard!$C$17+Dashboard!$C$18)*100</f>
        <v/>
      </c>
      <c r="V238" s="46">
        <f>(Dashboard!$C$19*tblHistory[[#This Row],[BIZD S]]+Dashboard!$C$20*tblHistory[[#This Row],[BKLN S]]+Dashboard!$C$21*tblHistory[[#This Row],[HY S]])/(Dashboard!$C$19+Dashboard!$C$20+Dashboard!$C$21)*100</f>
        <v/>
      </c>
      <c r="W23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8" s="46">
        <f>IFERROR(--(tblHistory[[#This Row],[Score]]&gt;=50),0)</f>
        <v/>
      </c>
      <c r="Y238" s="46">
        <f>IFERROR(--AND(tblHistory[[#This Row],[Score]]&gt;=60,OR(AND(tblHistory[[#This Row],[BIZD S]]&gt;=0.8,tblHistory[[#This Row],[BKLN S]]&gt;=0.5),tblHistory[[#This Row],[CCC S]]&gt;=0.8)),0)</f>
        <v/>
      </c>
      <c r="Z238" s="46">
        <f>IFERROR(--AND(tblHistory[[#This Row],[Score]]&gt;=70,tblHistory[[#This Row],[SOX S]]&gt;=0.83,tblHistory[[#This Row],[AIQ S]]&gt;=0.8),0)</f>
        <v/>
      </c>
      <c r="AA23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39">
      <c r="A239" s="42" t="n">
        <v>45979</v>
      </c>
      <c r="B239" s="43" t="n">
        <v>24503.0996</v>
      </c>
      <c r="C239" s="43" t="n">
        <v>6551.0298</v>
      </c>
      <c r="D239" s="43" t="n">
        <v>48.7573</v>
      </c>
      <c r="E239" s="43" t="n">
        <v>20.2255</v>
      </c>
      <c r="F239" s="44" t="n">
        <v>107</v>
      </c>
      <c r="G239" s="44" t="n">
        <v>922</v>
      </c>
      <c r="H239" s="43" t="n">
        <v>12.2749</v>
      </c>
      <c r="I239" s="43" t="n">
        <v>19.6338</v>
      </c>
      <c r="J239" s="44" t="n">
        <v>320</v>
      </c>
      <c r="K23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3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3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3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3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3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3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3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3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39" s="46">
        <f>(Dashboard!$C$13*tblHistory[[#This Row],[NDX S]]+Dashboard!$C$14*tblHistory[[#This Row],[SOX S]]+Dashboard!$C$15*tblHistory[[#This Row],[AIQ S]])/(Dashboard!$C$13+Dashboard!$C$14+Dashboard!$C$15)*100</f>
        <v/>
      </c>
      <c r="U239" s="46">
        <f>(Dashboard!$C$16*tblHistory[[#This Row],[DTCR S]]+Dashboard!$C$17*tblHistory[[#This Row],[BBB S]]+Dashboard!$C$18*tblHistory[[#This Row],[CCC S]])/(Dashboard!$C$16+Dashboard!$C$17+Dashboard!$C$18)*100</f>
        <v/>
      </c>
      <c r="V239" s="46">
        <f>(Dashboard!$C$19*tblHistory[[#This Row],[BIZD S]]+Dashboard!$C$20*tblHistory[[#This Row],[BKLN S]]+Dashboard!$C$21*tblHistory[[#This Row],[HY S]])/(Dashboard!$C$19+Dashboard!$C$20+Dashboard!$C$21)*100</f>
        <v/>
      </c>
      <c r="W23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39" s="46">
        <f>IFERROR(--(tblHistory[[#This Row],[Score]]&gt;=50),0)</f>
        <v/>
      </c>
      <c r="Y239" s="46">
        <f>IFERROR(--AND(tblHistory[[#This Row],[Score]]&gt;=60,OR(AND(tblHistory[[#This Row],[BIZD S]]&gt;=0.8,tblHistory[[#This Row],[BKLN S]]&gt;=0.5),tblHistory[[#This Row],[CCC S]]&gt;=0.8)),0)</f>
        <v/>
      </c>
      <c r="Z239" s="46">
        <f>IFERROR(--AND(tblHistory[[#This Row],[Score]]&gt;=70,tblHistory[[#This Row],[SOX S]]&gt;=0.83,tblHistory[[#This Row],[AIQ S]]&gt;=0.8),0)</f>
        <v/>
      </c>
      <c r="AA23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3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3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3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3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0">
      <c r="A240" s="42" t="n">
        <v>45978</v>
      </c>
      <c r="B240" s="43" t="n">
        <v>24799.9199</v>
      </c>
      <c r="C240" s="43" t="n">
        <v>6705.7402</v>
      </c>
      <c r="D240" s="43" t="n">
        <v>49.4567</v>
      </c>
      <c r="E240" s="43" t="n">
        <v>20.4433</v>
      </c>
      <c r="F240" s="44" t="n">
        <v>106</v>
      </c>
      <c r="G240" s="44" t="n">
        <v>908</v>
      </c>
      <c r="H240" s="43" t="n">
        <v>12.2926</v>
      </c>
      <c r="I240" s="43" t="n">
        <v>19.662</v>
      </c>
      <c r="J240" s="44" t="n">
        <v>313</v>
      </c>
      <c r="K24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0" s="46">
        <f>(Dashboard!$C$13*tblHistory[[#This Row],[NDX S]]+Dashboard!$C$14*tblHistory[[#This Row],[SOX S]]+Dashboard!$C$15*tblHistory[[#This Row],[AIQ S]])/(Dashboard!$C$13+Dashboard!$C$14+Dashboard!$C$15)*100</f>
        <v/>
      </c>
      <c r="U240" s="46">
        <f>(Dashboard!$C$16*tblHistory[[#This Row],[DTCR S]]+Dashboard!$C$17*tblHistory[[#This Row],[BBB S]]+Dashboard!$C$18*tblHistory[[#This Row],[CCC S]])/(Dashboard!$C$16+Dashboard!$C$17+Dashboard!$C$18)*100</f>
        <v/>
      </c>
      <c r="V240" s="46">
        <f>(Dashboard!$C$19*tblHistory[[#This Row],[BIZD S]]+Dashboard!$C$20*tblHistory[[#This Row],[BKLN S]]+Dashboard!$C$21*tblHistory[[#This Row],[HY S]])/(Dashboard!$C$19+Dashboard!$C$20+Dashboard!$C$21)*100</f>
        <v/>
      </c>
      <c r="W24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0" s="46">
        <f>IFERROR(--(tblHistory[[#This Row],[Score]]&gt;=50),0)</f>
        <v/>
      </c>
      <c r="Y240" s="46">
        <f>IFERROR(--AND(tblHistory[[#This Row],[Score]]&gt;=60,OR(AND(tblHistory[[#This Row],[BIZD S]]&gt;=0.8,tblHistory[[#This Row],[BKLN S]]&gt;=0.5),tblHistory[[#This Row],[CCC S]]&gt;=0.8)),0)</f>
        <v/>
      </c>
      <c r="Z240" s="46">
        <f>IFERROR(--AND(tblHistory[[#This Row],[Score]]&gt;=70,tblHistory[[#This Row],[SOX S]]&gt;=0.83,tblHistory[[#This Row],[AIQ S]]&gt;=0.8),0)</f>
        <v/>
      </c>
      <c r="AA24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1">
      <c r="A241" s="42" t="n">
        <v>45975</v>
      </c>
      <c r="B241" s="43" t="n">
        <v>25008.2402</v>
      </c>
      <c r="C241" s="43" t="n">
        <v>6811.2002</v>
      </c>
      <c r="D241" s="43" t="n">
        <v>50.1062</v>
      </c>
      <c r="E241" s="43" t="n">
        <v>20.6413</v>
      </c>
      <c r="F241" s="44" t="n">
        <v>106</v>
      </c>
      <c r="G241" s="44" t="n">
        <v>902</v>
      </c>
      <c r="H241" s="43" t="n">
        <v>12.5321</v>
      </c>
      <c r="I241" s="43" t="n">
        <v>19.662</v>
      </c>
      <c r="J241" s="44" t="n">
        <v>307</v>
      </c>
      <c r="K24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1" s="46">
        <f>(Dashboard!$C$13*tblHistory[[#This Row],[NDX S]]+Dashboard!$C$14*tblHistory[[#This Row],[SOX S]]+Dashboard!$C$15*tblHistory[[#This Row],[AIQ S]])/(Dashboard!$C$13+Dashboard!$C$14+Dashboard!$C$15)*100</f>
        <v/>
      </c>
      <c r="U241" s="46">
        <f>(Dashboard!$C$16*tblHistory[[#This Row],[DTCR S]]+Dashboard!$C$17*tblHistory[[#This Row],[BBB S]]+Dashboard!$C$18*tblHistory[[#This Row],[CCC S]])/(Dashboard!$C$16+Dashboard!$C$17+Dashboard!$C$18)*100</f>
        <v/>
      </c>
      <c r="V241" s="46">
        <f>(Dashboard!$C$19*tblHistory[[#This Row],[BIZD S]]+Dashboard!$C$20*tblHistory[[#This Row],[BKLN S]]+Dashboard!$C$21*tblHistory[[#This Row],[HY S]])/(Dashboard!$C$19+Dashboard!$C$20+Dashboard!$C$21)*100</f>
        <v/>
      </c>
      <c r="W24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1" s="46">
        <f>IFERROR(--(tblHistory[[#This Row],[Score]]&gt;=50),0)</f>
        <v/>
      </c>
      <c r="Y241" s="46">
        <f>IFERROR(--AND(tblHistory[[#This Row],[Score]]&gt;=60,OR(AND(tblHistory[[#This Row],[BIZD S]]&gt;=0.8,tblHistory[[#This Row],[BKLN S]]&gt;=0.5),tblHistory[[#This Row],[CCC S]]&gt;=0.8)),0)</f>
        <v/>
      </c>
      <c r="Z241" s="46">
        <f>IFERROR(--AND(tblHistory[[#This Row],[Score]]&gt;=70,tblHistory[[#This Row],[SOX S]]&gt;=0.83,tblHistory[[#This Row],[AIQ S]]&gt;=0.8),0)</f>
        <v/>
      </c>
      <c r="AA24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2">
      <c r="A242" s="42" t="n">
        <v>45974</v>
      </c>
      <c r="B242" s="43" t="n">
        <v>24993.4609</v>
      </c>
      <c r="C242" s="43" t="n">
        <v>6818.7402</v>
      </c>
      <c r="D242" s="43" t="n">
        <v>50.1561</v>
      </c>
      <c r="E242" s="43" t="n">
        <v>20.572</v>
      </c>
      <c r="F242" s="44" t="n">
        <v>106</v>
      </c>
      <c r="G242" s="44" t="n">
        <v>907</v>
      </c>
      <c r="H242" s="43" t="n">
        <v>12.5942</v>
      </c>
      <c r="I242" s="43" t="n">
        <v>19.662</v>
      </c>
      <c r="J242" s="44" t="n">
        <v>309</v>
      </c>
      <c r="K24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2" s="46">
        <f>(Dashboard!$C$13*tblHistory[[#This Row],[NDX S]]+Dashboard!$C$14*tblHistory[[#This Row],[SOX S]]+Dashboard!$C$15*tblHistory[[#This Row],[AIQ S]])/(Dashboard!$C$13+Dashboard!$C$14+Dashboard!$C$15)*100</f>
        <v/>
      </c>
      <c r="U242" s="46">
        <f>(Dashboard!$C$16*tblHistory[[#This Row],[DTCR S]]+Dashboard!$C$17*tblHistory[[#This Row],[BBB S]]+Dashboard!$C$18*tblHistory[[#This Row],[CCC S]])/(Dashboard!$C$16+Dashboard!$C$17+Dashboard!$C$18)*100</f>
        <v/>
      </c>
      <c r="V242" s="46">
        <f>(Dashboard!$C$19*tblHistory[[#This Row],[BIZD S]]+Dashboard!$C$20*tblHistory[[#This Row],[BKLN S]]+Dashboard!$C$21*tblHistory[[#This Row],[HY S]])/(Dashboard!$C$19+Dashboard!$C$20+Dashboard!$C$21)*100</f>
        <v/>
      </c>
      <c r="W24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2" s="46">
        <f>IFERROR(--(tblHistory[[#This Row],[Score]]&gt;=50),0)</f>
        <v/>
      </c>
      <c r="Y242" s="46">
        <f>IFERROR(--AND(tblHistory[[#This Row],[Score]]&gt;=60,OR(AND(tblHistory[[#This Row],[BIZD S]]&gt;=0.8,tblHistory[[#This Row],[BKLN S]]&gt;=0.5),tblHistory[[#This Row],[CCC S]]&gt;=0.8)),0)</f>
        <v/>
      </c>
      <c r="Z242" s="46">
        <f>IFERROR(--AND(tblHistory[[#This Row],[Score]]&gt;=70,tblHistory[[#This Row],[SOX S]]&gt;=0.83,tblHistory[[#This Row],[AIQ S]]&gt;=0.8),0)</f>
        <v/>
      </c>
      <c r="AA24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3">
      <c r="A243" s="42" t="n">
        <v>45973</v>
      </c>
      <c r="B243" s="43" t="n">
        <v>25517.3301</v>
      </c>
      <c r="C243" s="43" t="n">
        <v>7082.1299</v>
      </c>
      <c r="D243" s="43" t="n">
        <v>51.5349</v>
      </c>
      <c r="E243" s="43" t="n">
        <v>21.4729</v>
      </c>
      <c r="F243" s="44" t="n">
        <v>105</v>
      </c>
      <c r="G243" s="44" t="n">
        <v>895</v>
      </c>
      <c r="H243" s="43" t="n">
        <v>12.6828</v>
      </c>
      <c r="I243" s="43" t="n">
        <v>19.6713</v>
      </c>
      <c r="J243" s="44" t="n">
        <v>302</v>
      </c>
      <c r="K24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3" s="46">
        <f>(Dashboard!$C$13*tblHistory[[#This Row],[NDX S]]+Dashboard!$C$14*tblHistory[[#This Row],[SOX S]]+Dashboard!$C$15*tblHistory[[#This Row],[AIQ S]])/(Dashboard!$C$13+Dashboard!$C$14+Dashboard!$C$15)*100</f>
        <v/>
      </c>
      <c r="U243" s="46">
        <f>(Dashboard!$C$16*tblHistory[[#This Row],[DTCR S]]+Dashboard!$C$17*tblHistory[[#This Row],[BBB S]]+Dashboard!$C$18*tblHistory[[#This Row],[CCC S]])/(Dashboard!$C$16+Dashboard!$C$17+Dashboard!$C$18)*100</f>
        <v/>
      </c>
      <c r="V243" s="46">
        <f>(Dashboard!$C$19*tblHistory[[#This Row],[BIZD S]]+Dashboard!$C$20*tblHistory[[#This Row],[BKLN S]]+Dashboard!$C$21*tblHistory[[#This Row],[HY S]])/(Dashboard!$C$19+Dashboard!$C$20+Dashboard!$C$21)*100</f>
        <v/>
      </c>
      <c r="W24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3" s="46">
        <f>IFERROR(--(tblHistory[[#This Row],[Score]]&gt;=50),0)</f>
        <v/>
      </c>
      <c r="Y243" s="46">
        <f>IFERROR(--AND(tblHistory[[#This Row],[Score]]&gt;=60,OR(AND(tblHistory[[#This Row],[BIZD S]]&gt;=0.8,tblHistory[[#This Row],[BKLN S]]&gt;=0.5),tblHistory[[#This Row],[CCC S]]&gt;=0.8)),0)</f>
        <v/>
      </c>
      <c r="Z243" s="46">
        <f>IFERROR(--AND(tblHistory[[#This Row],[Score]]&gt;=70,tblHistory[[#This Row],[SOX S]]&gt;=0.83,tblHistory[[#This Row],[AIQ S]]&gt;=0.8),0)</f>
        <v/>
      </c>
      <c r="AA24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4">
      <c r="A244" s="42" t="n">
        <v>45972</v>
      </c>
      <c r="B244" s="43" t="n">
        <v>25533.4902</v>
      </c>
      <c r="C244" s="43" t="n">
        <v>6979.7002</v>
      </c>
      <c r="D244" s="43" t="n">
        <v>51.5949</v>
      </c>
      <c r="E244" s="43" t="n">
        <v>21.7798</v>
      </c>
      <c r="F244" s="44" t="n">
        <v>105</v>
      </c>
      <c r="G244" s="44" t="n">
        <v>888</v>
      </c>
      <c r="H244" s="43" t="n">
        <v>12.6474</v>
      </c>
      <c r="I244" s="43" t="n">
        <v>19.6807</v>
      </c>
      <c r="J244" s="44" t="n">
        <v>302</v>
      </c>
      <c r="K24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4" s="46">
        <f>(Dashboard!$C$13*tblHistory[[#This Row],[NDX S]]+Dashboard!$C$14*tblHistory[[#This Row],[SOX S]]+Dashboard!$C$15*tblHistory[[#This Row],[AIQ S]])/(Dashboard!$C$13+Dashboard!$C$14+Dashboard!$C$15)*100</f>
        <v/>
      </c>
      <c r="U244" s="46">
        <f>(Dashboard!$C$16*tblHistory[[#This Row],[DTCR S]]+Dashboard!$C$17*tblHistory[[#This Row],[BBB S]]+Dashboard!$C$18*tblHistory[[#This Row],[CCC S]])/(Dashboard!$C$16+Dashboard!$C$17+Dashboard!$C$18)*100</f>
        <v/>
      </c>
      <c r="V244" s="46">
        <f>(Dashboard!$C$19*tblHistory[[#This Row],[BIZD S]]+Dashboard!$C$20*tblHistory[[#This Row],[BKLN S]]+Dashboard!$C$21*tblHistory[[#This Row],[HY S]])/(Dashboard!$C$19+Dashboard!$C$20+Dashboard!$C$21)*100</f>
        <v/>
      </c>
      <c r="W24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4" s="46">
        <f>IFERROR(--(tblHistory[[#This Row],[Score]]&gt;=50),0)</f>
        <v/>
      </c>
      <c r="Y244" s="46">
        <f>IFERROR(--AND(tblHistory[[#This Row],[Score]]&gt;=60,OR(AND(tblHistory[[#This Row],[BIZD S]]&gt;=0.8,tblHistory[[#This Row],[BKLN S]]&gt;=0.5),tblHistory[[#This Row],[CCC S]]&gt;=0.8)),0)</f>
        <v/>
      </c>
      <c r="Z244" s="46">
        <f>IFERROR(--AND(tblHistory[[#This Row],[Score]]&gt;=70,tblHistory[[#This Row],[SOX S]]&gt;=0.83,tblHistory[[#This Row],[AIQ S]]&gt;=0.8),0)</f>
        <v/>
      </c>
      <c r="AA24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5">
      <c r="A245" s="42" t="n">
        <v>45971</v>
      </c>
      <c r="B245" s="43" t="n">
        <v>25611.7402</v>
      </c>
      <c r="C245" s="43" t="n">
        <v>7156.9502</v>
      </c>
      <c r="D245" s="43" t="n">
        <v>52.0545</v>
      </c>
      <c r="E245" s="43" t="n">
        <v>21.9679</v>
      </c>
      <c r="F245" s="44" t="n">
        <v>105</v>
      </c>
      <c r="G245" s="44" t="n">
        <v>888</v>
      </c>
      <c r="H245" s="43" t="n">
        <v>12.5853</v>
      </c>
      <c r="I245" s="43" t="n">
        <v>19.6713</v>
      </c>
      <c r="J245" s="44" t="n">
        <v>302</v>
      </c>
      <c r="K24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5" s="46">
        <f>(Dashboard!$C$13*tblHistory[[#This Row],[NDX S]]+Dashboard!$C$14*tblHistory[[#This Row],[SOX S]]+Dashboard!$C$15*tblHistory[[#This Row],[AIQ S]])/(Dashboard!$C$13+Dashboard!$C$14+Dashboard!$C$15)*100</f>
        <v/>
      </c>
      <c r="U245" s="46">
        <f>(Dashboard!$C$16*tblHistory[[#This Row],[DTCR S]]+Dashboard!$C$17*tblHistory[[#This Row],[BBB S]]+Dashboard!$C$18*tblHistory[[#This Row],[CCC S]])/(Dashboard!$C$16+Dashboard!$C$17+Dashboard!$C$18)*100</f>
        <v/>
      </c>
      <c r="V245" s="46">
        <f>(Dashboard!$C$19*tblHistory[[#This Row],[BIZD S]]+Dashboard!$C$20*tblHistory[[#This Row],[BKLN S]]+Dashboard!$C$21*tblHistory[[#This Row],[HY S]])/(Dashboard!$C$19+Dashboard!$C$20+Dashboard!$C$21)*100</f>
        <v/>
      </c>
      <c r="W24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5" s="46">
        <f>IFERROR(--(tblHistory[[#This Row],[Score]]&gt;=50),0)</f>
        <v/>
      </c>
      <c r="Y245" s="46">
        <f>IFERROR(--AND(tblHistory[[#This Row],[Score]]&gt;=60,OR(AND(tblHistory[[#This Row],[BIZD S]]&gt;=0.8,tblHistory[[#This Row],[BKLN S]]&gt;=0.5),tblHistory[[#This Row],[CCC S]]&gt;=0.8)),0)</f>
        <v/>
      </c>
      <c r="Z245" s="46">
        <f>IFERROR(--AND(tblHistory[[#This Row],[Score]]&gt;=70,tblHistory[[#This Row],[SOX S]]&gt;=0.83,tblHistory[[#This Row],[AIQ S]]&gt;=0.8),0)</f>
        <v/>
      </c>
      <c r="AA24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6">
      <c r="A246" s="42" t="n">
        <v>45968</v>
      </c>
      <c r="B246" s="43" t="n">
        <v>25059.8105</v>
      </c>
      <c r="C246" s="43" t="n">
        <v>6947.3599</v>
      </c>
      <c r="D246" s="43" t="n">
        <v>50.6357</v>
      </c>
      <c r="E246" s="43" t="n">
        <v>21.5224</v>
      </c>
      <c r="F246" s="44" t="n">
        <v>106</v>
      </c>
      <c r="G246" s="44" t="n">
        <v>898</v>
      </c>
      <c r="H246" s="43" t="n">
        <v>12.5853</v>
      </c>
      <c r="I246" s="43" t="n">
        <v>19.6432</v>
      </c>
      <c r="J246" s="44" t="n">
        <v>315</v>
      </c>
      <c r="K24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6" s="46">
        <f>(Dashboard!$C$13*tblHistory[[#This Row],[NDX S]]+Dashboard!$C$14*tblHistory[[#This Row],[SOX S]]+Dashboard!$C$15*tblHistory[[#This Row],[AIQ S]])/(Dashboard!$C$13+Dashboard!$C$14+Dashboard!$C$15)*100</f>
        <v/>
      </c>
      <c r="U246" s="46">
        <f>(Dashboard!$C$16*tblHistory[[#This Row],[DTCR S]]+Dashboard!$C$17*tblHistory[[#This Row],[BBB S]]+Dashboard!$C$18*tblHistory[[#This Row],[CCC S]])/(Dashboard!$C$16+Dashboard!$C$17+Dashboard!$C$18)*100</f>
        <v/>
      </c>
      <c r="V246" s="46">
        <f>(Dashboard!$C$19*tblHistory[[#This Row],[BIZD S]]+Dashboard!$C$20*tblHistory[[#This Row],[BKLN S]]+Dashboard!$C$21*tblHistory[[#This Row],[HY S]])/(Dashboard!$C$19+Dashboard!$C$20+Dashboard!$C$21)*100</f>
        <v/>
      </c>
      <c r="W24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6" s="46">
        <f>IFERROR(--(tblHistory[[#This Row],[Score]]&gt;=50),0)</f>
        <v/>
      </c>
      <c r="Y246" s="46">
        <f>IFERROR(--AND(tblHistory[[#This Row],[Score]]&gt;=60,OR(AND(tblHistory[[#This Row],[BIZD S]]&gt;=0.8,tblHistory[[#This Row],[BKLN S]]&gt;=0.5),tblHistory[[#This Row],[CCC S]]&gt;=0.8)),0)</f>
        <v/>
      </c>
      <c r="Z246" s="46">
        <f>IFERROR(--AND(tblHistory[[#This Row],[Score]]&gt;=70,tblHistory[[#This Row],[SOX S]]&gt;=0.83,tblHistory[[#This Row],[AIQ S]]&gt;=0.8),0)</f>
        <v/>
      </c>
      <c r="AA24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7">
      <c r="A247" s="42" t="n">
        <v>45967</v>
      </c>
      <c r="B247" s="43" t="n">
        <v>25130.0391</v>
      </c>
      <c r="C247" s="43" t="n">
        <v>7018.3901</v>
      </c>
      <c r="D247" s="43" t="n">
        <v>51.0553</v>
      </c>
      <c r="E247" s="43" t="n">
        <v>21.5125</v>
      </c>
      <c r="F247" s="44" t="n">
        <v>104</v>
      </c>
      <c r="G247" s="44" t="n">
        <v>890</v>
      </c>
      <c r="H247" s="43" t="n">
        <v>12.4256</v>
      </c>
      <c r="I247" s="43" t="n">
        <v>19.6432</v>
      </c>
      <c r="J247" s="44" t="n">
        <v>313</v>
      </c>
      <c r="K24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7" s="46">
        <f>(Dashboard!$C$13*tblHistory[[#This Row],[NDX S]]+Dashboard!$C$14*tblHistory[[#This Row],[SOX S]]+Dashboard!$C$15*tblHistory[[#This Row],[AIQ S]])/(Dashboard!$C$13+Dashboard!$C$14+Dashboard!$C$15)*100</f>
        <v/>
      </c>
      <c r="U247" s="46">
        <f>(Dashboard!$C$16*tblHistory[[#This Row],[DTCR S]]+Dashboard!$C$17*tblHistory[[#This Row],[BBB S]]+Dashboard!$C$18*tblHistory[[#This Row],[CCC S]])/(Dashboard!$C$16+Dashboard!$C$17+Dashboard!$C$18)*100</f>
        <v/>
      </c>
      <c r="V247" s="46">
        <f>(Dashboard!$C$19*tblHistory[[#This Row],[BIZD S]]+Dashboard!$C$20*tblHistory[[#This Row],[BKLN S]]+Dashboard!$C$21*tblHistory[[#This Row],[HY S]])/(Dashboard!$C$19+Dashboard!$C$20+Dashboard!$C$21)*100</f>
        <v/>
      </c>
      <c r="W24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7" s="46">
        <f>IFERROR(--(tblHistory[[#This Row],[Score]]&gt;=50),0)</f>
        <v/>
      </c>
      <c r="Y247" s="46">
        <f>IFERROR(--AND(tblHistory[[#This Row],[Score]]&gt;=60,OR(AND(tblHistory[[#This Row],[BIZD S]]&gt;=0.8,tblHistory[[#This Row],[BKLN S]]&gt;=0.5),tblHistory[[#This Row],[CCC S]]&gt;=0.8)),0)</f>
        <v/>
      </c>
      <c r="Z247" s="46">
        <f>IFERROR(--AND(tblHistory[[#This Row],[Score]]&gt;=70,tblHistory[[#This Row],[SOX S]]&gt;=0.83,tblHistory[[#This Row],[AIQ S]]&gt;=0.8),0)</f>
        <v/>
      </c>
      <c r="AA24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8">
      <c r="A248" s="42" t="n">
        <v>45966</v>
      </c>
      <c r="B248" s="43" t="n">
        <v>25620.0293</v>
      </c>
      <c r="C248" s="43" t="n">
        <v>7190.27</v>
      </c>
      <c r="D248" s="43" t="n">
        <v>52.0744</v>
      </c>
      <c r="E248" s="43" t="n">
        <v>21.859</v>
      </c>
      <c r="F248" s="44" t="n">
        <v>102</v>
      </c>
      <c r="G248" s="44" t="n">
        <v>885</v>
      </c>
      <c r="H248" s="43" t="n">
        <v>12.6296</v>
      </c>
      <c r="I248" s="43" t="n">
        <v>19.6244</v>
      </c>
      <c r="J248" s="44" t="n">
        <v>305</v>
      </c>
      <c r="K24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8" s="46">
        <f>(Dashboard!$C$13*tblHistory[[#This Row],[NDX S]]+Dashboard!$C$14*tblHistory[[#This Row],[SOX S]]+Dashboard!$C$15*tblHistory[[#This Row],[AIQ S]])/(Dashboard!$C$13+Dashboard!$C$14+Dashboard!$C$15)*100</f>
        <v/>
      </c>
      <c r="U248" s="46">
        <f>(Dashboard!$C$16*tblHistory[[#This Row],[DTCR S]]+Dashboard!$C$17*tblHistory[[#This Row],[BBB S]]+Dashboard!$C$18*tblHistory[[#This Row],[CCC S]])/(Dashboard!$C$16+Dashboard!$C$17+Dashboard!$C$18)*100</f>
        <v/>
      </c>
      <c r="V248" s="46">
        <f>(Dashboard!$C$19*tblHistory[[#This Row],[BIZD S]]+Dashboard!$C$20*tblHistory[[#This Row],[BKLN S]]+Dashboard!$C$21*tblHistory[[#This Row],[HY S]])/(Dashboard!$C$19+Dashboard!$C$20+Dashboard!$C$21)*100</f>
        <v/>
      </c>
      <c r="W24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8" s="46">
        <f>IFERROR(--(tblHistory[[#This Row],[Score]]&gt;=50),0)</f>
        <v/>
      </c>
      <c r="Y248" s="46">
        <f>IFERROR(--AND(tblHistory[[#This Row],[Score]]&gt;=60,OR(AND(tblHistory[[#This Row],[BIZD S]]&gt;=0.8,tblHistory[[#This Row],[BKLN S]]&gt;=0.5),tblHistory[[#This Row],[CCC S]]&gt;=0.8)),0)</f>
        <v/>
      </c>
      <c r="Z248" s="46">
        <f>IFERROR(--AND(tblHistory[[#This Row],[Score]]&gt;=70,tblHistory[[#This Row],[SOX S]]&gt;=0.83,tblHistory[[#This Row],[AIQ S]]&gt;=0.8),0)</f>
        <v/>
      </c>
      <c r="AA24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49">
      <c r="A249" s="42" t="n">
        <v>45965</v>
      </c>
      <c r="B249" s="43" t="n">
        <v>25435.6992</v>
      </c>
      <c r="C249" s="43" t="n">
        <v>6979.5698</v>
      </c>
      <c r="D249" s="43" t="n">
        <v>51.5149</v>
      </c>
      <c r="E249" s="43" t="n">
        <v>21.4927</v>
      </c>
      <c r="F249" s="44" t="n">
        <v>104</v>
      </c>
      <c r="G249" s="44" t="n">
        <v>897</v>
      </c>
      <c r="H249" s="43" t="n">
        <v>12.6385</v>
      </c>
      <c r="I249" s="43" t="n">
        <v>19.6244</v>
      </c>
      <c r="J249" s="44" t="n">
        <v>313</v>
      </c>
      <c r="K24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4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4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4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4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4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4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4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4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49" s="46">
        <f>(Dashboard!$C$13*tblHistory[[#This Row],[NDX S]]+Dashboard!$C$14*tblHistory[[#This Row],[SOX S]]+Dashboard!$C$15*tblHistory[[#This Row],[AIQ S]])/(Dashboard!$C$13+Dashboard!$C$14+Dashboard!$C$15)*100</f>
        <v/>
      </c>
      <c r="U249" s="46">
        <f>(Dashboard!$C$16*tblHistory[[#This Row],[DTCR S]]+Dashboard!$C$17*tblHistory[[#This Row],[BBB S]]+Dashboard!$C$18*tblHistory[[#This Row],[CCC S]])/(Dashboard!$C$16+Dashboard!$C$17+Dashboard!$C$18)*100</f>
        <v/>
      </c>
      <c r="V249" s="46">
        <f>(Dashboard!$C$19*tblHistory[[#This Row],[BIZD S]]+Dashboard!$C$20*tblHistory[[#This Row],[BKLN S]]+Dashboard!$C$21*tblHistory[[#This Row],[HY S]])/(Dashboard!$C$19+Dashboard!$C$20+Dashboard!$C$21)*100</f>
        <v/>
      </c>
      <c r="W24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49" s="46">
        <f>IFERROR(--(tblHistory[[#This Row],[Score]]&gt;=50),0)</f>
        <v/>
      </c>
      <c r="Y249" s="46">
        <f>IFERROR(--AND(tblHistory[[#This Row],[Score]]&gt;=60,OR(AND(tblHistory[[#This Row],[BIZD S]]&gt;=0.8,tblHistory[[#This Row],[BKLN S]]&gt;=0.5),tblHistory[[#This Row],[CCC S]]&gt;=0.8)),0)</f>
        <v/>
      </c>
      <c r="Z249" s="46">
        <f>IFERROR(--AND(tblHistory[[#This Row],[Score]]&gt;=70,tblHistory[[#This Row],[SOX S]]&gt;=0.83,tblHistory[[#This Row],[AIQ S]]&gt;=0.8),0)</f>
        <v/>
      </c>
      <c r="AA24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4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4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4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4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0">
      <c r="A250" s="42" t="n">
        <v>45964</v>
      </c>
      <c r="B250" s="43" t="n">
        <v>25972.9395</v>
      </c>
      <c r="C250" s="43" t="n">
        <v>7270.9702</v>
      </c>
      <c r="D250" s="43" t="n">
        <v>53.5132</v>
      </c>
      <c r="E250" s="43" t="n">
        <v>22.0867</v>
      </c>
      <c r="F250" s="44" t="n">
        <v>104</v>
      </c>
      <c r="G250" s="44" t="n">
        <v>885</v>
      </c>
      <c r="H250" s="43" t="n">
        <v>12.7449</v>
      </c>
      <c r="I250" s="43" t="n">
        <v>19.615</v>
      </c>
      <c r="J250" s="44" t="n">
        <v>304</v>
      </c>
      <c r="K25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0" s="46">
        <f>(Dashboard!$C$13*tblHistory[[#This Row],[NDX S]]+Dashboard!$C$14*tblHistory[[#This Row],[SOX S]]+Dashboard!$C$15*tblHistory[[#This Row],[AIQ S]])/(Dashboard!$C$13+Dashboard!$C$14+Dashboard!$C$15)*100</f>
        <v/>
      </c>
      <c r="U250" s="46">
        <f>(Dashboard!$C$16*tblHistory[[#This Row],[DTCR S]]+Dashboard!$C$17*tblHistory[[#This Row],[BBB S]]+Dashboard!$C$18*tblHistory[[#This Row],[CCC S]])/(Dashboard!$C$16+Dashboard!$C$17+Dashboard!$C$18)*100</f>
        <v/>
      </c>
      <c r="V250" s="46">
        <f>(Dashboard!$C$19*tblHistory[[#This Row],[BIZD S]]+Dashboard!$C$20*tblHistory[[#This Row],[BKLN S]]+Dashboard!$C$21*tblHistory[[#This Row],[HY S]])/(Dashboard!$C$19+Dashboard!$C$20+Dashboard!$C$21)*100</f>
        <v/>
      </c>
      <c r="W25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0" s="46">
        <f>IFERROR(--(tblHistory[[#This Row],[Score]]&gt;=50),0)</f>
        <v/>
      </c>
      <c r="Y250" s="46">
        <f>IFERROR(--AND(tblHistory[[#This Row],[Score]]&gt;=60,OR(AND(tblHistory[[#This Row],[BIZD S]]&gt;=0.8,tblHistory[[#This Row],[BKLN S]]&gt;=0.5),tblHistory[[#This Row],[CCC S]]&gt;=0.8)),0)</f>
        <v/>
      </c>
      <c r="Z250" s="46">
        <f>IFERROR(--AND(tblHistory[[#This Row],[Score]]&gt;=70,tblHistory[[#This Row],[SOX S]]&gt;=0.83,tblHistory[[#This Row],[AIQ S]]&gt;=0.8),0)</f>
        <v/>
      </c>
      <c r="AA25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1">
      <c r="A251" s="42" t="n">
        <v>45961</v>
      </c>
      <c r="B251" s="43" t="n">
        <v>25858.1309</v>
      </c>
      <c r="C251" s="43" t="n">
        <v>7228.6602</v>
      </c>
      <c r="D251" s="43" t="n">
        <v>53.0336</v>
      </c>
      <c r="E251" s="43" t="n">
        <v>22.1362</v>
      </c>
      <c r="F251" s="44" t="n">
        <v>102</v>
      </c>
      <c r="G251" s="44" t="n">
        <v>865</v>
      </c>
      <c r="H251" s="43" t="n">
        <v>12.7095</v>
      </c>
      <c r="I251" s="43" t="n">
        <v>19.615</v>
      </c>
      <c r="J251" s="44" t="n">
        <v>294</v>
      </c>
      <c r="K25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1" s="46">
        <f>(Dashboard!$C$13*tblHistory[[#This Row],[NDX S]]+Dashboard!$C$14*tblHistory[[#This Row],[SOX S]]+Dashboard!$C$15*tblHistory[[#This Row],[AIQ S]])/(Dashboard!$C$13+Dashboard!$C$14+Dashboard!$C$15)*100</f>
        <v/>
      </c>
      <c r="U251" s="46">
        <f>(Dashboard!$C$16*tblHistory[[#This Row],[DTCR S]]+Dashboard!$C$17*tblHistory[[#This Row],[BBB S]]+Dashboard!$C$18*tblHistory[[#This Row],[CCC S]])/(Dashboard!$C$16+Dashboard!$C$17+Dashboard!$C$18)*100</f>
        <v/>
      </c>
      <c r="V251" s="46">
        <f>(Dashboard!$C$19*tblHistory[[#This Row],[BIZD S]]+Dashboard!$C$20*tblHistory[[#This Row],[BKLN S]]+Dashboard!$C$21*tblHistory[[#This Row],[HY S]])/(Dashboard!$C$19+Dashboard!$C$20+Dashboard!$C$21)*100</f>
        <v/>
      </c>
      <c r="W25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1" s="46">
        <f>IFERROR(--(tblHistory[[#This Row],[Score]]&gt;=50),0)</f>
        <v/>
      </c>
      <c r="Y251" s="46">
        <f>IFERROR(--AND(tblHistory[[#This Row],[Score]]&gt;=60,OR(AND(tblHistory[[#This Row],[BIZD S]]&gt;=0.8,tblHistory[[#This Row],[BKLN S]]&gt;=0.5),tblHistory[[#This Row],[CCC S]]&gt;=0.8)),0)</f>
        <v/>
      </c>
      <c r="Z251" s="46">
        <f>IFERROR(--AND(tblHistory[[#This Row],[Score]]&gt;=70,tblHistory[[#This Row],[SOX S]]&gt;=0.83,tblHistory[[#This Row],[AIQ S]]&gt;=0.8),0)</f>
        <v/>
      </c>
      <c r="AA25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2">
      <c r="A252" s="42" t="n">
        <v>45960</v>
      </c>
      <c r="B252" s="43" t="n">
        <v>25734.8105</v>
      </c>
      <c r="C252" s="43" t="n">
        <v>7216</v>
      </c>
      <c r="D252" s="43" t="n">
        <v>52.6539</v>
      </c>
      <c r="E252" s="43" t="n">
        <v>22.0768</v>
      </c>
      <c r="F252" s="44" t="n">
        <v>98</v>
      </c>
      <c r="G252" s="44" t="n">
        <v>833</v>
      </c>
      <c r="H252" s="43" t="n">
        <v>12.603</v>
      </c>
      <c r="I252" s="43" t="n">
        <v>19.6057</v>
      </c>
      <c r="J252" s="44" t="n">
        <v>285</v>
      </c>
      <c r="K25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2" s="46">
        <f>(Dashboard!$C$13*tblHistory[[#This Row],[NDX S]]+Dashboard!$C$14*tblHistory[[#This Row],[SOX S]]+Dashboard!$C$15*tblHistory[[#This Row],[AIQ S]])/(Dashboard!$C$13+Dashboard!$C$14+Dashboard!$C$15)*100</f>
        <v/>
      </c>
      <c r="U252" s="46">
        <f>(Dashboard!$C$16*tblHistory[[#This Row],[DTCR S]]+Dashboard!$C$17*tblHistory[[#This Row],[BBB S]]+Dashboard!$C$18*tblHistory[[#This Row],[CCC S]])/(Dashboard!$C$16+Dashboard!$C$17+Dashboard!$C$18)*100</f>
        <v/>
      </c>
      <c r="V252" s="46">
        <f>(Dashboard!$C$19*tblHistory[[#This Row],[BIZD S]]+Dashboard!$C$20*tblHistory[[#This Row],[BKLN S]]+Dashboard!$C$21*tblHistory[[#This Row],[HY S]])/(Dashboard!$C$19+Dashboard!$C$20+Dashboard!$C$21)*100</f>
        <v/>
      </c>
      <c r="W25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2" s="46">
        <f>IFERROR(--(tblHistory[[#This Row],[Score]]&gt;=50),0)</f>
        <v/>
      </c>
      <c r="Y252" s="46">
        <f>IFERROR(--AND(tblHistory[[#This Row],[Score]]&gt;=60,OR(AND(tblHistory[[#This Row],[BIZD S]]&gt;=0.8,tblHistory[[#This Row],[BKLN S]]&gt;=0.5),tblHistory[[#This Row],[CCC S]]&gt;=0.8)),0)</f>
        <v/>
      </c>
      <c r="Z252" s="46">
        <f>IFERROR(--AND(tblHistory[[#This Row],[Score]]&gt;=70,tblHistory[[#This Row],[SOX S]]&gt;=0.83,tblHistory[[#This Row],[AIQ S]]&gt;=0.8),0)</f>
        <v/>
      </c>
      <c r="AA25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3">
      <c r="A253" s="42" t="n">
        <v>45959</v>
      </c>
      <c r="B253" s="43" t="n">
        <v>26119.8496</v>
      </c>
      <c r="C253" s="43" t="n">
        <v>7327.9302</v>
      </c>
      <c r="D253" s="43" t="n">
        <v>53.4233</v>
      </c>
      <c r="E253" s="43" t="n">
        <v>22.1758</v>
      </c>
      <c r="F253" s="44" t="n">
        <v>96</v>
      </c>
      <c r="G253" s="44" t="n">
        <v>822</v>
      </c>
      <c r="H253" s="43" t="n">
        <v>12.7804</v>
      </c>
      <c r="I253" s="43" t="n">
        <v>19.615</v>
      </c>
      <c r="J253" s="44" t="n">
        <v>276</v>
      </c>
      <c r="K25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3" s="46">
        <f>(Dashboard!$C$13*tblHistory[[#This Row],[NDX S]]+Dashboard!$C$14*tblHistory[[#This Row],[SOX S]]+Dashboard!$C$15*tblHistory[[#This Row],[AIQ S]])/(Dashboard!$C$13+Dashboard!$C$14+Dashboard!$C$15)*100</f>
        <v/>
      </c>
      <c r="U253" s="46">
        <f>(Dashboard!$C$16*tblHistory[[#This Row],[DTCR S]]+Dashboard!$C$17*tblHistory[[#This Row],[BBB S]]+Dashboard!$C$18*tblHistory[[#This Row],[CCC S]])/(Dashboard!$C$16+Dashboard!$C$17+Dashboard!$C$18)*100</f>
        <v/>
      </c>
      <c r="V253" s="46">
        <f>(Dashboard!$C$19*tblHistory[[#This Row],[BIZD S]]+Dashboard!$C$20*tblHistory[[#This Row],[BKLN S]]+Dashboard!$C$21*tblHistory[[#This Row],[HY S]])/(Dashboard!$C$19+Dashboard!$C$20+Dashboard!$C$21)*100</f>
        <v/>
      </c>
      <c r="W25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3" s="46">
        <f>IFERROR(--(tblHistory[[#This Row],[Score]]&gt;=50),0)</f>
        <v/>
      </c>
      <c r="Y253" s="46">
        <f>IFERROR(--AND(tblHistory[[#This Row],[Score]]&gt;=60,OR(AND(tblHistory[[#This Row],[BIZD S]]&gt;=0.8,tblHistory[[#This Row],[BKLN S]]&gt;=0.5),tblHistory[[#This Row],[CCC S]]&gt;=0.8)),0)</f>
        <v/>
      </c>
      <c r="Z253" s="46">
        <f>IFERROR(--AND(tblHistory[[#This Row],[Score]]&gt;=70,tblHistory[[#This Row],[SOX S]]&gt;=0.83,tblHistory[[#This Row],[AIQ S]]&gt;=0.8),0)</f>
        <v/>
      </c>
      <c r="AA25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4">
      <c r="A254" s="42" t="n">
        <v>45958</v>
      </c>
      <c r="B254" s="43" t="n">
        <v>26012.1504</v>
      </c>
      <c r="C254" s="43" t="n">
        <v>7194.71</v>
      </c>
      <c r="D254" s="43" t="n">
        <v>53.1135</v>
      </c>
      <c r="E254" s="43" t="n">
        <v>22.2451</v>
      </c>
      <c r="F254" s="44" t="n">
        <v>97</v>
      </c>
      <c r="G254" s="44" t="n">
        <v>829</v>
      </c>
      <c r="H254" s="43" t="n">
        <v>12.9401</v>
      </c>
      <c r="I254" s="43" t="n">
        <v>19.6244</v>
      </c>
      <c r="J254" s="44" t="n">
        <v>282</v>
      </c>
      <c r="K25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4" s="46">
        <f>(Dashboard!$C$13*tblHistory[[#This Row],[NDX S]]+Dashboard!$C$14*tblHistory[[#This Row],[SOX S]]+Dashboard!$C$15*tblHistory[[#This Row],[AIQ S]])/(Dashboard!$C$13+Dashboard!$C$14+Dashboard!$C$15)*100</f>
        <v/>
      </c>
      <c r="U254" s="46">
        <f>(Dashboard!$C$16*tblHistory[[#This Row],[DTCR S]]+Dashboard!$C$17*tblHistory[[#This Row],[BBB S]]+Dashboard!$C$18*tblHistory[[#This Row],[CCC S]])/(Dashboard!$C$16+Dashboard!$C$17+Dashboard!$C$18)*100</f>
        <v/>
      </c>
      <c r="V254" s="46">
        <f>(Dashboard!$C$19*tblHistory[[#This Row],[BIZD S]]+Dashboard!$C$20*tblHistory[[#This Row],[BKLN S]]+Dashboard!$C$21*tblHistory[[#This Row],[HY S]])/(Dashboard!$C$19+Dashboard!$C$20+Dashboard!$C$21)*100</f>
        <v/>
      </c>
      <c r="W25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4" s="46">
        <f>IFERROR(--(tblHistory[[#This Row],[Score]]&gt;=50),0)</f>
        <v/>
      </c>
      <c r="Y254" s="46">
        <f>IFERROR(--AND(tblHistory[[#This Row],[Score]]&gt;=60,OR(AND(tblHistory[[#This Row],[BIZD S]]&gt;=0.8,tblHistory[[#This Row],[BKLN S]]&gt;=0.5),tblHistory[[#This Row],[CCC S]]&gt;=0.8)),0)</f>
        <v/>
      </c>
      <c r="Z254" s="46">
        <f>IFERROR(--AND(tblHistory[[#This Row],[Score]]&gt;=70,tblHistory[[#This Row],[SOX S]]&gt;=0.83,tblHistory[[#This Row],[AIQ S]]&gt;=0.8),0)</f>
        <v/>
      </c>
      <c r="AA25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5">
      <c r="A255" s="42" t="n">
        <v>45957</v>
      </c>
      <c r="B255" s="43" t="n">
        <v>25821.5508</v>
      </c>
      <c r="C255" s="43" t="n">
        <v>7167.98</v>
      </c>
      <c r="D255" s="43" t="n">
        <v>53.0436</v>
      </c>
      <c r="E255" s="43" t="n">
        <v>22.4233</v>
      </c>
      <c r="F255" s="44" t="n">
        <v>97</v>
      </c>
      <c r="G255" s="44" t="n">
        <v>827</v>
      </c>
      <c r="H255" s="43" t="n">
        <v>12.9046</v>
      </c>
      <c r="I255" s="43" t="n">
        <v>19.6057</v>
      </c>
      <c r="J255" s="44" t="n">
        <v>280</v>
      </c>
      <c r="K25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5" s="46">
        <f>(Dashboard!$C$13*tblHistory[[#This Row],[NDX S]]+Dashboard!$C$14*tblHistory[[#This Row],[SOX S]]+Dashboard!$C$15*tblHistory[[#This Row],[AIQ S]])/(Dashboard!$C$13+Dashboard!$C$14+Dashboard!$C$15)*100</f>
        <v/>
      </c>
      <c r="U255" s="46">
        <f>(Dashboard!$C$16*tblHistory[[#This Row],[DTCR S]]+Dashboard!$C$17*tblHistory[[#This Row],[BBB S]]+Dashboard!$C$18*tblHistory[[#This Row],[CCC S]])/(Dashboard!$C$16+Dashboard!$C$17+Dashboard!$C$18)*100</f>
        <v/>
      </c>
      <c r="V255" s="46">
        <f>(Dashboard!$C$19*tblHistory[[#This Row],[BIZD S]]+Dashboard!$C$20*tblHistory[[#This Row],[BKLN S]]+Dashboard!$C$21*tblHistory[[#This Row],[HY S]])/(Dashboard!$C$19+Dashboard!$C$20+Dashboard!$C$21)*100</f>
        <v/>
      </c>
      <c r="W25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5" s="46">
        <f>IFERROR(--(tblHistory[[#This Row],[Score]]&gt;=50),0)</f>
        <v/>
      </c>
      <c r="Y255" s="46">
        <f>IFERROR(--AND(tblHistory[[#This Row],[Score]]&gt;=60,OR(AND(tblHistory[[#This Row],[BIZD S]]&gt;=0.8,tblHistory[[#This Row],[BKLN S]]&gt;=0.5),tblHistory[[#This Row],[CCC S]]&gt;=0.8)),0)</f>
        <v/>
      </c>
      <c r="Z255" s="46">
        <f>IFERROR(--AND(tblHistory[[#This Row],[Score]]&gt;=70,tblHistory[[#This Row],[SOX S]]&gt;=0.83,tblHistory[[#This Row],[AIQ S]]&gt;=0.8),0)</f>
        <v/>
      </c>
      <c r="AA25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6">
      <c r="A256" s="42" t="n">
        <v>45954</v>
      </c>
      <c r="B256" s="43" t="n">
        <v>25358.1602</v>
      </c>
      <c r="C256" s="43" t="n">
        <v>6976.9399</v>
      </c>
      <c r="D256" s="43" t="n">
        <v>51.8946</v>
      </c>
      <c r="E256" s="43" t="n">
        <v>22.057</v>
      </c>
      <c r="F256" s="44" t="n">
        <v>98</v>
      </c>
      <c r="G256" s="44" t="n">
        <v>843</v>
      </c>
      <c r="H256" s="43" t="n">
        <v>12.7095</v>
      </c>
      <c r="I256" s="43" t="n">
        <v>19.5681</v>
      </c>
      <c r="J256" s="44" t="n">
        <v>288</v>
      </c>
      <c r="K25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6" s="46">
        <f>(Dashboard!$C$13*tblHistory[[#This Row],[NDX S]]+Dashboard!$C$14*tblHistory[[#This Row],[SOX S]]+Dashboard!$C$15*tblHistory[[#This Row],[AIQ S]])/(Dashboard!$C$13+Dashboard!$C$14+Dashboard!$C$15)*100</f>
        <v/>
      </c>
      <c r="U256" s="46">
        <f>(Dashboard!$C$16*tblHistory[[#This Row],[DTCR S]]+Dashboard!$C$17*tblHistory[[#This Row],[BBB S]]+Dashboard!$C$18*tblHistory[[#This Row],[CCC S]])/(Dashboard!$C$16+Dashboard!$C$17+Dashboard!$C$18)*100</f>
        <v/>
      </c>
      <c r="V256" s="46">
        <f>(Dashboard!$C$19*tblHistory[[#This Row],[BIZD S]]+Dashboard!$C$20*tblHistory[[#This Row],[BKLN S]]+Dashboard!$C$21*tblHistory[[#This Row],[HY S]])/(Dashboard!$C$19+Dashboard!$C$20+Dashboard!$C$21)*100</f>
        <v/>
      </c>
      <c r="W25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6" s="46">
        <f>IFERROR(--(tblHistory[[#This Row],[Score]]&gt;=50),0)</f>
        <v/>
      </c>
      <c r="Y256" s="46">
        <f>IFERROR(--AND(tblHistory[[#This Row],[Score]]&gt;=60,OR(AND(tblHistory[[#This Row],[BIZD S]]&gt;=0.8,tblHistory[[#This Row],[BKLN S]]&gt;=0.5),tblHistory[[#This Row],[CCC S]]&gt;=0.8)),0)</f>
        <v/>
      </c>
      <c r="Z256" s="46">
        <f>IFERROR(--AND(tblHistory[[#This Row],[Score]]&gt;=70,tblHistory[[#This Row],[SOX S]]&gt;=0.83,tblHistory[[#This Row],[AIQ S]]&gt;=0.8),0)</f>
        <v/>
      </c>
      <c r="AA25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7">
      <c r="A257" s="42" t="n">
        <v>45953</v>
      </c>
      <c r="B257" s="43" t="n">
        <v>25097.4102</v>
      </c>
      <c r="C257" s="43" t="n">
        <v>6847.3901</v>
      </c>
      <c r="D257" s="43" t="n">
        <v>51.0354</v>
      </c>
      <c r="E257" s="43" t="n">
        <v>21.7303</v>
      </c>
      <c r="F257" s="44" t="n">
        <v>100</v>
      </c>
      <c r="G257" s="44" t="n">
        <v>853</v>
      </c>
      <c r="H257" s="43" t="n">
        <v>12.6474</v>
      </c>
      <c r="I257" s="43" t="n">
        <v>19.5306</v>
      </c>
      <c r="J257" s="44" t="n">
        <v>296</v>
      </c>
      <c r="K25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7" s="46">
        <f>(Dashboard!$C$13*tblHistory[[#This Row],[NDX S]]+Dashboard!$C$14*tblHistory[[#This Row],[SOX S]]+Dashboard!$C$15*tblHistory[[#This Row],[AIQ S]])/(Dashboard!$C$13+Dashboard!$C$14+Dashboard!$C$15)*100</f>
        <v/>
      </c>
      <c r="U257" s="46">
        <f>(Dashboard!$C$16*tblHistory[[#This Row],[DTCR S]]+Dashboard!$C$17*tblHistory[[#This Row],[BBB S]]+Dashboard!$C$18*tblHistory[[#This Row],[CCC S]])/(Dashboard!$C$16+Dashboard!$C$17+Dashboard!$C$18)*100</f>
        <v/>
      </c>
      <c r="V257" s="46">
        <f>(Dashboard!$C$19*tblHistory[[#This Row],[BIZD S]]+Dashboard!$C$20*tblHistory[[#This Row],[BKLN S]]+Dashboard!$C$21*tblHistory[[#This Row],[HY S]])/(Dashboard!$C$19+Dashboard!$C$20+Dashboard!$C$21)*100</f>
        <v/>
      </c>
      <c r="W25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7" s="46">
        <f>IFERROR(--(tblHistory[[#This Row],[Score]]&gt;=50),0)</f>
        <v/>
      </c>
      <c r="Y257" s="46">
        <f>IFERROR(--AND(tblHistory[[#This Row],[Score]]&gt;=60,OR(AND(tblHistory[[#This Row],[BIZD S]]&gt;=0.8,tblHistory[[#This Row],[BKLN S]]&gt;=0.5),tblHistory[[#This Row],[CCC S]]&gt;=0.8)),0)</f>
        <v/>
      </c>
      <c r="Z257" s="46">
        <f>IFERROR(--AND(tblHistory[[#This Row],[Score]]&gt;=70,tblHistory[[#This Row],[SOX S]]&gt;=0.83,tblHistory[[#This Row],[AIQ S]]&gt;=0.8),0)</f>
        <v/>
      </c>
      <c r="AA25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8">
      <c r="A258" s="42" t="n">
        <v>45952</v>
      </c>
      <c r="B258" s="43" t="n">
        <v>24879.0098</v>
      </c>
      <c r="C258" s="43" t="n">
        <v>6677.5698</v>
      </c>
      <c r="D258" s="43" t="n">
        <v>50.356</v>
      </c>
      <c r="E258" s="43" t="n">
        <v>21.3046</v>
      </c>
      <c r="F258" s="44" t="n">
        <v>102</v>
      </c>
      <c r="G258" s="44" t="n">
        <v>854</v>
      </c>
      <c r="H258" s="43" t="n">
        <v>12.5764</v>
      </c>
      <c r="I258" s="43" t="n">
        <v>19.5212</v>
      </c>
      <c r="J258" s="44" t="n">
        <v>301</v>
      </c>
      <c r="K25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8" s="46">
        <f>(Dashboard!$C$13*tblHistory[[#This Row],[NDX S]]+Dashboard!$C$14*tblHistory[[#This Row],[SOX S]]+Dashboard!$C$15*tblHistory[[#This Row],[AIQ S]])/(Dashboard!$C$13+Dashboard!$C$14+Dashboard!$C$15)*100</f>
        <v/>
      </c>
      <c r="U258" s="46">
        <f>(Dashboard!$C$16*tblHistory[[#This Row],[DTCR S]]+Dashboard!$C$17*tblHistory[[#This Row],[BBB S]]+Dashboard!$C$18*tblHistory[[#This Row],[CCC S]])/(Dashboard!$C$16+Dashboard!$C$17+Dashboard!$C$18)*100</f>
        <v/>
      </c>
      <c r="V258" s="46">
        <f>(Dashboard!$C$19*tblHistory[[#This Row],[BIZD S]]+Dashboard!$C$20*tblHistory[[#This Row],[BKLN S]]+Dashboard!$C$21*tblHistory[[#This Row],[HY S]])/(Dashboard!$C$19+Dashboard!$C$20+Dashboard!$C$21)*100</f>
        <v/>
      </c>
      <c r="W25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8" s="46">
        <f>IFERROR(--(tblHistory[[#This Row],[Score]]&gt;=50),0)</f>
        <v/>
      </c>
      <c r="Y258" s="46">
        <f>IFERROR(--AND(tblHistory[[#This Row],[Score]]&gt;=60,OR(AND(tblHistory[[#This Row],[BIZD S]]&gt;=0.8,tblHistory[[#This Row],[BKLN S]]&gt;=0.5),tblHistory[[#This Row],[CCC S]]&gt;=0.8)),0)</f>
        <v/>
      </c>
      <c r="Z258" s="46">
        <f>IFERROR(--AND(tblHistory[[#This Row],[Score]]&gt;=70,tblHistory[[#This Row],[SOX S]]&gt;=0.83,tblHistory[[#This Row],[AIQ S]]&gt;=0.8),0)</f>
        <v/>
      </c>
      <c r="AA25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59">
      <c r="A259" s="42" t="n">
        <v>45951</v>
      </c>
      <c r="B259" s="43" t="n">
        <v>25127.1309</v>
      </c>
      <c r="C259" s="43" t="n">
        <v>6839.27</v>
      </c>
      <c r="D259" s="43" t="n">
        <v>50.9754</v>
      </c>
      <c r="E259" s="43" t="n">
        <v>21.6016</v>
      </c>
      <c r="F259" s="44" t="n">
        <v>101</v>
      </c>
      <c r="G259" s="44" t="n">
        <v>847</v>
      </c>
      <c r="H259" s="43" t="n">
        <v>12.6296</v>
      </c>
      <c r="I259" s="43" t="n">
        <v>19.493</v>
      </c>
      <c r="J259" s="44" t="n">
        <v>297</v>
      </c>
      <c r="K25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5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5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5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5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5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5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5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5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59" s="46">
        <f>(Dashboard!$C$13*tblHistory[[#This Row],[NDX S]]+Dashboard!$C$14*tblHistory[[#This Row],[SOX S]]+Dashboard!$C$15*tblHistory[[#This Row],[AIQ S]])/(Dashboard!$C$13+Dashboard!$C$14+Dashboard!$C$15)*100</f>
        <v/>
      </c>
      <c r="U259" s="46">
        <f>(Dashboard!$C$16*tblHistory[[#This Row],[DTCR S]]+Dashboard!$C$17*tblHistory[[#This Row],[BBB S]]+Dashboard!$C$18*tblHistory[[#This Row],[CCC S]])/(Dashboard!$C$16+Dashboard!$C$17+Dashboard!$C$18)*100</f>
        <v/>
      </c>
      <c r="V259" s="46">
        <f>(Dashboard!$C$19*tblHistory[[#This Row],[BIZD S]]+Dashboard!$C$20*tblHistory[[#This Row],[BKLN S]]+Dashboard!$C$21*tblHistory[[#This Row],[HY S]])/(Dashboard!$C$19+Dashboard!$C$20+Dashboard!$C$21)*100</f>
        <v/>
      </c>
      <c r="W25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59" s="46">
        <f>IFERROR(--(tblHistory[[#This Row],[Score]]&gt;=50),0)</f>
        <v/>
      </c>
      <c r="Y259" s="46">
        <f>IFERROR(--AND(tblHistory[[#This Row],[Score]]&gt;=60,OR(AND(tblHistory[[#This Row],[BIZD S]]&gt;=0.8,tblHistory[[#This Row],[BKLN S]]&gt;=0.5),tblHistory[[#This Row],[CCC S]]&gt;=0.8)),0)</f>
        <v/>
      </c>
      <c r="Z259" s="46">
        <f>IFERROR(--AND(tblHistory[[#This Row],[Score]]&gt;=70,tblHistory[[#This Row],[SOX S]]&gt;=0.83,tblHistory[[#This Row],[AIQ S]]&gt;=0.8),0)</f>
        <v/>
      </c>
      <c r="AA25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5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5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5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5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0">
      <c r="A260" s="42" t="n">
        <v>45950</v>
      </c>
      <c r="B260" s="43" t="n">
        <v>25141.0195</v>
      </c>
      <c r="C260" s="43" t="n">
        <v>6885.0298</v>
      </c>
      <c r="D260" s="43" t="n">
        <v>51.2452</v>
      </c>
      <c r="E260" s="43" t="n">
        <v>22.0174</v>
      </c>
      <c r="F260" s="44" t="n">
        <v>100</v>
      </c>
      <c r="G260" s="44" t="n">
        <v>848</v>
      </c>
      <c r="H260" s="43" t="n">
        <v>12.4611</v>
      </c>
      <c r="I260" s="43" t="n">
        <v>19.5024</v>
      </c>
      <c r="J260" s="44" t="n">
        <v>299</v>
      </c>
      <c r="K26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0" s="46">
        <f>(Dashboard!$C$13*tblHistory[[#This Row],[NDX S]]+Dashboard!$C$14*tblHistory[[#This Row],[SOX S]]+Dashboard!$C$15*tblHistory[[#This Row],[AIQ S]])/(Dashboard!$C$13+Dashboard!$C$14+Dashboard!$C$15)*100</f>
        <v/>
      </c>
      <c r="U260" s="46">
        <f>(Dashboard!$C$16*tblHistory[[#This Row],[DTCR S]]+Dashboard!$C$17*tblHistory[[#This Row],[BBB S]]+Dashboard!$C$18*tblHistory[[#This Row],[CCC S]])/(Dashboard!$C$16+Dashboard!$C$17+Dashboard!$C$18)*100</f>
        <v/>
      </c>
      <c r="V260" s="46">
        <f>(Dashboard!$C$19*tblHistory[[#This Row],[BIZD S]]+Dashboard!$C$20*tblHistory[[#This Row],[BKLN S]]+Dashboard!$C$21*tblHistory[[#This Row],[HY S]])/(Dashboard!$C$19+Dashboard!$C$20+Dashboard!$C$21)*100</f>
        <v/>
      </c>
      <c r="W26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0" s="46">
        <f>IFERROR(--(tblHistory[[#This Row],[Score]]&gt;=50),0)</f>
        <v/>
      </c>
      <c r="Y260" s="46">
        <f>IFERROR(--AND(tblHistory[[#This Row],[Score]]&gt;=60,OR(AND(tblHistory[[#This Row],[BIZD S]]&gt;=0.8,tblHistory[[#This Row],[BKLN S]]&gt;=0.5),tblHistory[[#This Row],[CCC S]]&gt;=0.8)),0)</f>
        <v/>
      </c>
      <c r="Z260" s="46">
        <f>IFERROR(--AND(tblHistory[[#This Row],[Score]]&gt;=70,tblHistory[[#This Row],[SOX S]]&gt;=0.83,tblHistory[[#This Row],[AIQ S]]&gt;=0.8),0)</f>
        <v/>
      </c>
      <c r="AA26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1">
      <c r="A261" s="42" t="n">
        <v>45947</v>
      </c>
      <c r="B261" s="43" t="n">
        <v>24817.9492</v>
      </c>
      <c r="C261" s="43" t="n">
        <v>6777.98</v>
      </c>
      <c r="D261" s="43" t="n">
        <v>50.4559</v>
      </c>
      <c r="E261" s="43" t="n">
        <v>21.5521</v>
      </c>
      <c r="F261" s="44" t="n">
        <v>101</v>
      </c>
      <c r="G261" s="44" t="n">
        <v>857</v>
      </c>
      <c r="H261" s="43" t="n">
        <v>12.3902</v>
      </c>
      <c r="I261" s="43" t="n">
        <v>19.4555</v>
      </c>
      <c r="J261" s="44" t="n">
        <v>304</v>
      </c>
      <c r="K26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1" s="46">
        <f>(Dashboard!$C$13*tblHistory[[#This Row],[NDX S]]+Dashboard!$C$14*tblHistory[[#This Row],[SOX S]]+Dashboard!$C$15*tblHistory[[#This Row],[AIQ S]])/(Dashboard!$C$13+Dashboard!$C$14+Dashboard!$C$15)*100</f>
        <v/>
      </c>
      <c r="U261" s="46">
        <f>(Dashboard!$C$16*tblHistory[[#This Row],[DTCR S]]+Dashboard!$C$17*tblHistory[[#This Row],[BBB S]]+Dashboard!$C$18*tblHistory[[#This Row],[CCC S]])/(Dashboard!$C$16+Dashboard!$C$17+Dashboard!$C$18)*100</f>
        <v/>
      </c>
      <c r="V261" s="46">
        <f>(Dashboard!$C$19*tblHistory[[#This Row],[BIZD S]]+Dashboard!$C$20*tblHistory[[#This Row],[BKLN S]]+Dashboard!$C$21*tblHistory[[#This Row],[HY S]])/(Dashboard!$C$19+Dashboard!$C$20+Dashboard!$C$21)*100</f>
        <v/>
      </c>
      <c r="W26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1" s="46">
        <f>IFERROR(--(tblHistory[[#This Row],[Score]]&gt;=50),0)</f>
        <v/>
      </c>
      <c r="Y261" s="46">
        <f>IFERROR(--AND(tblHistory[[#This Row],[Score]]&gt;=60,OR(AND(tblHistory[[#This Row],[BIZD S]]&gt;=0.8,tblHistory[[#This Row],[BKLN S]]&gt;=0.5),tblHistory[[#This Row],[CCC S]]&gt;=0.8)),0)</f>
        <v/>
      </c>
      <c r="Z261" s="46">
        <f>IFERROR(--AND(tblHistory[[#This Row],[Score]]&gt;=70,tblHistory[[#This Row],[SOX S]]&gt;=0.83,tblHistory[[#This Row],[AIQ S]]&gt;=0.8),0)</f>
        <v/>
      </c>
      <c r="AA26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2">
      <c r="A262" s="42" t="n">
        <v>45946</v>
      </c>
      <c r="B262" s="43" t="n">
        <v>24657.2402</v>
      </c>
      <c r="C262" s="43" t="n">
        <v>6800.02</v>
      </c>
      <c r="D262" s="43" t="n">
        <v>50.4858</v>
      </c>
      <c r="E262" s="43" t="n">
        <v>21.8095</v>
      </c>
      <c r="F262" s="44" t="n">
        <v>101</v>
      </c>
      <c r="G262" s="44" t="n">
        <v>856</v>
      </c>
      <c r="H262" s="43" t="n">
        <v>12.3281</v>
      </c>
      <c r="I262" s="43" t="n">
        <v>19.4275</v>
      </c>
      <c r="J262" s="44" t="n">
        <v>304</v>
      </c>
      <c r="K26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2" s="46">
        <f>(Dashboard!$C$13*tblHistory[[#This Row],[NDX S]]+Dashboard!$C$14*tblHistory[[#This Row],[SOX S]]+Dashboard!$C$15*tblHistory[[#This Row],[AIQ S]])/(Dashboard!$C$13+Dashboard!$C$14+Dashboard!$C$15)*100</f>
        <v/>
      </c>
      <c r="U262" s="46">
        <f>(Dashboard!$C$16*tblHistory[[#This Row],[DTCR S]]+Dashboard!$C$17*tblHistory[[#This Row],[BBB S]]+Dashboard!$C$18*tblHistory[[#This Row],[CCC S]])/(Dashboard!$C$16+Dashboard!$C$17+Dashboard!$C$18)*100</f>
        <v/>
      </c>
      <c r="V262" s="46">
        <f>(Dashboard!$C$19*tblHistory[[#This Row],[BIZD S]]+Dashboard!$C$20*tblHistory[[#This Row],[BKLN S]]+Dashboard!$C$21*tblHistory[[#This Row],[HY S]])/(Dashboard!$C$19+Dashboard!$C$20+Dashboard!$C$21)*100</f>
        <v/>
      </c>
      <c r="W26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2" s="46">
        <f>IFERROR(--(tblHistory[[#This Row],[Score]]&gt;=50),0)</f>
        <v/>
      </c>
      <c r="Y262" s="46">
        <f>IFERROR(--AND(tblHistory[[#This Row],[Score]]&gt;=60,OR(AND(tblHistory[[#This Row],[BIZD S]]&gt;=0.8,tblHistory[[#This Row],[BKLN S]]&gt;=0.5),tblHistory[[#This Row],[CCC S]]&gt;=0.8)),0)</f>
        <v/>
      </c>
      <c r="Z262" s="46">
        <f>IFERROR(--AND(tblHistory[[#This Row],[Score]]&gt;=70,tblHistory[[#This Row],[SOX S]]&gt;=0.83,tblHistory[[#This Row],[AIQ S]]&gt;=0.8),0)</f>
        <v/>
      </c>
      <c r="AA26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3">
      <c r="A263" s="42" t="n">
        <v>45945</v>
      </c>
      <c r="B263" s="43" t="n">
        <v>24745.3594</v>
      </c>
      <c r="C263" s="43" t="n">
        <v>6767.0601</v>
      </c>
      <c r="D263" s="43" t="n">
        <v>50.5058</v>
      </c>
      <c r="E263" s="43" t="n">
        <v>21.7699</v>
      </c>
      <c r="F263" s="44" t="n">
        <v>99</v>
      </c>
      <c r="G263" s="44" t="n">
        <v>847</v>
      </c>
      <c r="H263" s="43" t="n">
        <v>12.603</v>
      </c>
      <c r="I263" s="43" t="n">
        <v>19.4648</v>
      </c>
      <c r="J263" s="44" t="n">
        <v>295</v>
      </c>
      <c r="K26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3" s="46">
        <f>(Dashboard!$C$13*tblHistory[[#This Row],[NDX S]]+Dashboard!$C$14*tblHistory[[#This Row],[SOX S]]+Dashboard!$C$15*tblHistory[[#This Row],[AIQ S]])/(Dashboard!$C$13+Dashboard!$C$14+Dashboard!$C$15)*100</f>
        <v/>
      </c>
      <c r="U263" s="46">
        <f>(Dashboard!$C$16*tblHistory[[#This Row],[DTCR S]]+Dashboard!$C$17*tblHistory[[#This Row],[BBB S]]+Dashboard!$C$18*tblHistory[[#This Row],[CCC S]])/(Dashboard!$C$16+Dashboard!$C$17+Dashboard!$C$18)*100</f>
        <v/>
      </c>
      <c r="V263" s="46">
        <f>(Dashboard!$C$19*tblHistory[[#This Row],[BIZD S]]+Dashboard!$C$20*tblHistory[[#This Row],[BKLN S]]+Dashboard!$C$21*tblHistory[[#This Row],[HY S]])/(Dashboard!$C$19+Dashboard!$C$20+Dashboard!$C$21)*100</f>
        <v/>
      </c>
      <c r="W26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3" s="46">
        <f>IFERROR(--(tblHistory[[#This Row],[Score]]&gt;=50),0)</f>
        <v/>
      </c>
      <c r="Y263" s="46">
        <f>IFERROR(--AND(tblHistory[[#This Row],[Score]]&gt;=60,OR(AND(tblHistory[[#This Row],[BIZD S]]&gt;=0.8,tblHistory[[#This Row],[BKLN S]]&gt;=0.5),tblHistory[[#This Row],[CCC S]]&gt;=0.8)),0)</f>
        <v/>
      </c>
      <c r="Z263" s="46">
        <f>IFERROR(--AND(tblHistory[[#This Row],[Score]]&gt;=70,tblHistory[[#This Row],[SOX S]]&gt;=0.83,tblHistory[[#This Row],[AIQ S]]&gt;=0.8),0)</f>
        <v/>
      </c>
      <c r="AA26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4">
      <c r="A264" s="42" t="n">
        <v>45944</v>
      </c>
      <c r="B264" s="43" t="n">
        <v>24579.3203</v>
      </c>
      <c r="C264" s="43" t="n">
        <v>6570.3301</v>
      </c>
      <c r="D264" s="43" t="n">
        <v>49.7665</v>
      </c>
      <c r="E264" s="43" t="n">
        <v>21.2749</v>
      </c>
      <c r="F264" s="44" t="n">
        <v>102</v>
      </c>
      <c r="G264" s="44" t="n">
        <v>863</v>
      </c>
      <c r="H264" s="43" t="n">
        <v>12.603</v>
      </c>
      <c r="I264" s="43" t="n">
        <v>19.4368</v>
      </c>
      <c r="J264" s="44" t="n">
        <v>311</v>
      </c>
      <c r="K26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4" s="46">
        <f>(Dashboard!$C$13*tblHistory[[#This Row],[NDX S]]+Dashboard!$C$14*tblHistory[[#This Row],[SOX S]]+Dashboard!$C$15*tblHistory[[#This Row],[AIQ S]])/(Dashboard!$C$13+Dashboard!$C$14+Dashboard!$C$15)*100</f>
        <v/>
      </c>
      <c r="U264" s="46">
        <f>(Dashboard!$C$16*tblHistory[[#This Row],[DTCR S]]+Dashboard!$C$17*tblHistory[[#This Row],[BBB S]]+Dashboard!$C$18*tblHistory[[#This Row],[CCC S]])/(Dashboard!$C$16+Dashboard!$C$17+Dashboard!$C$18)*100</f>
        <v/>
      </c>
      <c r="V264" s="46">
        <f>(Dashboard!$C$19*tblHistory[[#This Row],[BIZD S]]+Dashboard!$C$20*tblHistory[[#This Row],[BKLN S]]+Dashboard!$C$21*tblHistory[[#This Row],[HY S]])/(Dashboard!$C$19+Dashboard!$C$20+Dashboard!$C$21)*100</f>
        <v/>
      </c>
      <c r="W26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4" s="46">
        <f>IFERROR(--(tblHistory[[#This Row],[Score]]&gt;=50),0)</f>
        <v/>
      </c>
      <c r="Y264" s="46">
        <f>IFERROR(--AND(tblHistory[[#This Row],[Score]]&gt;=60,OR(AND(tblHistory[[#This Row],[BIZD S]]&gt;=0.8,tblHistory[[#This Row],[BKLN S]]&gt;=0.5),tblHistory[[#This Row],[CCC S]]&gt;=0.8)),0)</f>
        <v/>
      </c>
      <c r="Z264" s="46">
        <f>IFERROR(--AND(tblHistory[[#This Row],[Score]]&gt;=70,tblHistory[[#This Row],[SOX S]]&gt;=0.83,tblHistory[[#This Row],[AIQ S]]&gt;=0.8),0)</f>
        <v/>
      </c>
      <c r="AA26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5">
      <c r="A265" s="42" t="n">
        <v>45943</v>
      </c>
      <c r="B265" s="43" t="n">
        <v>24750.25</v>
      </c>
      <c r="C265" s="43" t="n">
        <v>6723.4702</v>
      </c>
      <c r="D265" s="43" t="n">
        <v>50.3959</v>
      </c>
      <c r="E265" s="43" t="n">
        <v>21.3937</v>
      </c>
      <c r="F265" s="44" t="n">
        <v>102</v>
      </c>
      <c r="G265" s="44" t="n">
        <v>874</v>
      </c>
      <c r="H265" s="43" t="n">
        <v>12.337</v>
      </c>
      <c r="I265" s="43" t="n">
        <v>19.4462</v>
      </c>
      <c r="J265" s="44" t="n">
        <v>318</v>
      </c>
      <c r="K26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5" s="46">
        <f>(Dashboard!$C$13*tblHistory[[#This Row],[NDX S]]+Dashboard!$C$14*tblHistory[[#This Row],[SOX S]]+Dashboard!$C$15*tblHistory[[#This Row],[AIQ S]])/(Dashboard!$C$13+Dashboard!$C$14+Dashboard!$C$15)*100</f>
        <v/>
      </c>
      <c r="U265" s="46">
        <f>(Dashboard!$C$16*tblHistory[[#This Row],[DTCR S]]+Dashboard!$C$17*tblHistory[[#This Row],[BBB S]]+Dashboard!$C$18*tblHistory[[#This Row],[CCC S]])/(Dashboard!$C$16+Dashboard!$C$17+Dashboard!$C$18)*100</f>
        <v/>
      </c>
      <c r="V265" s="46">
        <f>(Dashboard!$C$19*tblHistory[[#This Row],[BIZD S]]+Dashboard!$C$20*tblHistory[[#This Row],[BKLN S]]+Dashboard!$C$21*tblHistory[[#This Row],[HY S]])/(Dashboard!$C$19+Dashboard!$C$20+Dashboard!$C$21)*100</f>
        <v/>
      </c>
      <c r="W26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5" s="46">
        <f>IFERROR(--(tblHistory[[#This Row],[Score]]&gt;=50),0)</f>
        <v/>
      </c>
      <c r="Y265" s="46">
        <f>IFERROR(--AND(tblHistory[[#This Row],[Score]]&gt;=60,OR(AND(tblHistory[[#This Row],[BIZD S]]&gt;=0.8,tblHistory[[#This Row],[BKLN S]]&gt;=0.5),tblHistory[[#This Row],[CCC S]]&gt;=0.8)),0)</f>
        <v/>
      </c>
      <c r="Z265" s="46">
        <f>IFERROR(--AND(tblHistory[[#This Row],[Score]]&gt;=70,tblHistory[[#This Row],[SOX S]]&gt;=0.83,tblHistory[[#This Row],[AIQ S]]&gt;=0.8),0)</f>
        <v/>
      </c>
      <c r="AA26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6">
      <c r="A266" s="42" t="n">
        <v>45940</v>
      </c>
      <c r="B266" s="43" t="n">
        <v>24221.7402</v>
      </c>
      <c r="C266" s="43" t="n">
        <v>6407.6001</v>
      </c>
      <c r="D266" s="43" t="n">
        <v>48.8872</v>
      </c>
      <c r="E266" s="43" t="n">
        <v>20.9482</v>
      </c>
      <c r="F266" s="44" t="n">
        <v>102</v>
      </c>
      <c r="G266" s="44" t="n">
        <v>874</v>
      </c>
      <c r="H266" s="43" t="n">
        <v>11.9644</v>
      </c>
      <c r="I266" s="43" t="n">
        <v>19.3995</v>
      </c>
      <c r="J266" s="44" t="n">
        <v>318</v>
      </c>
      <c r="K26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6" s="46">
        <f>(Dashboard!$C$13*tblHistory[[#This Row],[NDX S]]+Dashboard!$C$14*tblHistory[[#This Row],[SOX S]]+Dashboard!$C$15*tblHistory[[#This Row],[AIQ S]])/(Dashboard!$C$13+Dashboard!$C$14+Dashboard!$C$15)*100</f>
        <v/>
      </c>
      <c r="U266" s="46">
        <f>(Dashboard!$C$16*tblHistory[[#This Row],[DTCR S]]+Dashboard!$C$17*tblHistory[[#This Row],[BBB S]]+Dashboard!$C$18*tblHistory[[#This Row],[CCC S]])/(Dashboard!$C$16+Dashboard!$C$17+Dashboard!$C$18)*100</f>
        <v/>
      </c>
      <c r="V266" s="46">
        <f>(Dashboard!$C$19*tblHistory[[#This Row],[BIZD S]]+Dashboard!$C$20*tblHistory[[#This Row],[BKLN S]]+Dashboard!$C$21*tblHistory[[#This Row],[HY S]])/(Dashboard!$C$19+Dashboard!$C$20+Dashboard!$C$21)*100</f>
        <v/>
      </c>
      <c r="W26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6" s="46">
        <f>IFERROR(--(tblHistory[[#This Row],[Score]]&gt;=50),0)</f>
        <v/>
      </c>
      <c r="Y266" s="46">
        <f>IFERROR(--AND(tblHistory[[#This Row],[Score]]&gt;=60,OR(AND(tblHistory[[#This Row],[BIZD S]]&gt;=0.8,tblHistory[[#This Row],[BKLN S]]&gt;=0.5),tblHistory[[#This Row],[CCC S]]&gt;=0.8)),0)</f>
        <v/>
      </c>
      <c r="Z266" s="46">
        <f>IFERROR(--AND(tblHistory[[#This Row],[Score]]&gt;=70,tblHistory[[#This Row],[SOX S]]&gt;=0.83,tblHistory[[#This Row],[AIQ S]]&gt;=0.8),0)</f>
        <v/>
      </c>
      <c r="AA26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7">
      <c r="A267" s="42" t="n">
        <v>45939</v>
      </c>
      <c r="B267" s="43" t="n">
        <v>25098.1797</v>
      </c>
      <c r="C267" s="43" t="n">
        <v>6840.2002</v>
      </c>
      <c r="D267" s="43" t="n">
        <v>51.2252</v>
      </c>
      <c r="E267" s="43" t="n">
        <v>21.3739</v>
      </c>
      <c r="F267" s="44" t="n">
        <v>98</v>
      </c>
      <c r="G267" s="44" t="n">
        <v>838</v>
      </c>
      <c r="H267" s="43" t="n">
        <v>12.1152</v>
      </c>
      <c r="I267" s="43" t="n">
        <v>19.4648</v>
      </c>
      <c r="J267" s="44" t="n">
        <v>295</v>
      </c>
      <c r="K26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7" s="46">
        <f>(Dashboard!$C$13*tblHistory[[#This Row],[NDX S]]+Dashboard!$C$14*tblHistory[[#This Row],[SOX S]]+Dashboard!$C$15*tblHistory[[#This Row],[AIQ S]])/(Dashboard!$C$13+Dashboard!$C$14+Dashboard!$C$15)*100</f>
        <v/>
      </c>
      <c r="U267" s="46">
        <f>(Dashboard!$C$16*tblHistory[[#This Row],[DTCR S]]+Dashboard!$C$17*tblHistory[[#This Row],[BBB S]]+Dashboard!$C$18*tblHistory[[#This Row],[CCC S]])/(Dashboard!$C$16+Dashboard!$C$17+Dashboard!$C$18)*100</f>
        <v/>
      </c>
      <c r="V267" s="46">
        <f>(Dashboard!$C$19*tblHistory[[#This Row],[BIZD S]]+Dashboard!$C$20*tblHistory[[#This Row],[BKLN S]]+Dashboard!$C$21*tblHistory[[#This Row],[HY S]])/(Dashboard!$C$19+Dashboard!$C$20+Dashboard!$C$21)*100</f>
        <v/>
      </c>
      <c r="W26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7" s="46">
        <f>IFERROR(--(tblHistory[[#This Row],[Score]]&gt;=50),0)</f>
        <v/>
      </c>
      <c r="Y267" s="46">
        <f>IFERROR(--AND(tblHistory[[#This Row],[Score]]&gt;=60,OR(AND(tblHistory[[#This Row],[BIZD S]]&gt;=0.8,tblHistory[[#This Row],[BKLN S]]&gt;=0.5),tblHistory[[#This Row],[CCC S]]&gt;=0.8)),0)</f>
        <v/>
      </c>
      <c r="Z267" s="46">
        <f>IFERROR(--AND(tblHistory[[#This Row],[Score]]&gt;=70,tblHistory[[#This Row],[SOX S]]&gt;=0.83,tblHistory[[#This Row],[AIQ S]]&gt;=0.8),0)</f>
        <v/>
      </c>
      <c r="AA26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8">
      <c r="A268" s="42" t="n">
        <v>45938</v>
      </c>
      <c r="B268" s="43" t="n">
        <v>25136.6191</v>
      </c>
      <c r="C268" s="43" t="n">
        <v>6860.2002</v>
      </c>
      <c r="D268" s="43" t="n">
        <v>51.5049</v>
      </c>
      <c r="E268" s="43" t="n">
        <v>21.3046</v>
      </c>
      <c r="F268" s="44" t="n">
        <v>95</v>
      </c>
      <c r="G268" s="44" t="n">
        <v>819</v>
      </c>
      <c r="H268" s="43" t="n">
        <v>12.4611</v>
      </c>
      <c r="I268" s="43" t="n">
        <v>19.5021</v>
      </c>
      <c r="J268" s="44" t="n">
        <v>284</v>
      </c>
      <c r="K26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8" s="46">
        <f>(Dashboard!$C$13*tblHistory[[#This Row],[NDX S]]+Dashboard!$C$14*tblHistory[[#This Row],[SOX S]]+Dashboard!$C$15*tblHistory[[#This Row],[AIQ S]])/(Dashboard!$C$13+Dashboard!$C$14+Dashboard!$C$15)*100</f>
        <v/>
      </c>
      <c r="U268" s="46">
        <f>(Dashboard!$C$16*tblHistory[[#This Row],[DTCR S]]+Dashboard!$C$17*tblHistory[[#This Row],[BBB S]]+Dashboard!$C$18*tblHistory[[#This Row],[CCC S]])/(Dashboard!$C$16+Dashboard!$C$17+Dashboard!$C$18)*100</f>
        <v/>
      </c>
      <c r="V268" s="46">
        <f>(Dashboard!$C$19*tblHistory[[#This Row],[BIZD S]]+Dashboard!$C$20*tblHistory[[#This Row],[BKLN S]]+Dashboard!$C$21*tblHistory[[#This Row],[HY S]])/(Dashboard!$C$19+Dashboard!$C$20+Dashboard!$C$21)*100</f>
        <v/>
      </c>
      <c r="W26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8" s="46">
        <f>IFERROR(--(tblHistory[[#This Row],[Score]]&gt;=50),0)</f>
        <v/>
      </c>
      <c r="Y268" s="46">
        <f>IFERROR(--AND(tblHistory[[#This Row],[Score]]&gt;=60,OR(AND(tblHistory[[#This Row],[BIZD S]]&gt;=0.8,tblHistory[[#This Row],[BKLN S]]&gt;=0.5),tblHistory[[#This Row],[CCC S]]&gt;=0.8)),0)</f>
        <v/>
      </c>
      <c r="Z268" s="46">
        <f>IFERROR(--AND(tblHistory[[#This Row],[Score]]&gt;=70,tblHistory[[#This Row],[SOX S]]&gt;=0.83,tblHistory[[#This Row],[AIQ S]]&gt;=0.8),0)</f>
        <v/>
      </c>
      <c r="AA26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69">
      <c r="A269" s="42" t="n">
        <v>45937</v>
      </c>
      <c r="B269" s="43" t="n">
        <v>24840.2305</v>
      </c>
      <c r="C269" s="43" t="n">
        <v>6634.7598</v>
      </c>
      <c r="D269" s="43" t="n">
        <v>50.5158</v>
      </c>
      <c r="E269" s="43" t="n">
        <v>21.0472</v>
      </c>
      <c r="F269" s="44" t="n">
        <v>95</v>
      </c>
      <c r="G269" s="44" t="n">
        <v>812</v>
      </c>
      <c r="H269" s="43" t="n">
        <v>12.5498</v>
      </c>
      <c r="I269" s="43" t="n">
        <v>19.5208</v>
      </c>
      <c r="J269" s="44" t="n">
        <v>282</v>
      </c>
      <c r="K26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6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6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6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6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6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6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6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6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69" s="46">
        <f>(Dashboard!$C$13*tblHistory[[#This Row],[NDX S]]+Dashboard!$C$14*tblHistory[[#This Row],[SOX S]]+Dashboard!$C$15*tblHistory[[#This Row],[AIQ S]])/(Dashboard!$C$13+Dashboard!$C$14+Dashboard!$C$15)*100</f>
        <v/>
      </c>
      <c r="U269" s="46">
        <f>(Dashboard!$C$16*tblHistory[[#This Row],[DTCR S]]+Dashboard!$C$17*tblHistory[[#This Row],[BBB S]]+Dashboard!$C$18*tblHistory[[#This Row],[CCC S]])/(Dashboard!$C$16+Dashboard!$C$17+Dashboard!$C$18)*100</f>
        <v/>
      </c>
      <c r="V269" s="46">
        <f>(Dashboard!$C$19*tblHistory[[#This Row],[BIZD S]]+Dashboard!$C$20*tblHistory[[#This Row],[BKLN S]]+Dashboard!$C$21*tblHistory[[#This Row],[HY S]])/(Dashboard!$C$19+Dashboard!$C$20+Dashboard!$C$21)*100</f>
        <v/>
      </c>
      <c r="W26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69" s="46">
        <f>IFERROR(--(tblHistory[[#This Row],[Score]]&gt;=50),0)</f>
        <v/>
      </c>
      <c r="Y269" s="46">
        <f>IFERROR(--AND(tblHistory[[#This Row],[Score]]&gt;=60,OR(AND(tblHistory[[#This Row],[BIZD S]]&gt;=0.8,tblHistory[[#This Row],[BKLN S]]&gt;=0.5),tblHistory[[#This Row],[CCC S]]&gt;=0.8)),0)</f>
        <v/>
      </c>
      <c r="Z269" s="46">
        <f>IFERROR(--AND(tblHistory[[#This Row],[Score]]&gt;=70,tblHistory[[#This Row],[SOX S]]&gt;=0.83,tblHistory[[#This Row],[AIQ S]]&gt;=0.8),0)</f>
        <v/>
      </c>
      <c r="AA26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6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6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6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6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0">
      <c r="A270" s="42" t="n">
        <v>45936</v>
      </c>
      <c r="B270" s="43" t="n">
        <v>24978.5605</v>
      </c>
      <c r="C270" s="43" t="n">
        <v>6774.0601</v>
      </c>
      <c r="D270" s="43" t="n">
        <v>51.0154</v>
      </c>
      <c r="E270" s="43" t="n">
        <v>21.1462</v>
      </c>
      <c r="F270" s="44" t="n">
        <v>94</v>
      </c>
      <c r="G270" s="44" t="n">
        <v>804</v>
      </c>
      <c r="H270" s="43" t="n">
        <v>12.7006</v>
      </c>
      <c r="I270" s="43" t="n">
        <v>19.5395</v>
      </c>
      <c r="J270" s="44" t="n">
        <v>276</v>
      </c>
      <c r="K27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0" s="46">
        <f>(Dashboard!$C$13*tblHistory[[#This Row],[NDX S]]+Dashboard!$C$14*tblHistory[[#This Row],[SOX S]]+Dashboard!$C$15*tblHistory[[#This Row],[AIQ S]])/(Dashboard!$C$13+Dashboard!$C$14+Dashboard!$C$15)*100</f>
        <v/>
      </c>
      <c r="U270" s="46">
        <f>(Dashboard!$C$16*tblHistory[[#This Row],[DTCR S]]+Dashboard!$C$17*tblHistory[[#This Row],[BBB S]]+Dashboard!$C$18*tblHistory[[#This Row],[CCC S]])/(Dashboard!$C$16+Dashboard!$C$17+Dashboard!$C$18)*100</f>
        <v/>
      </c>
      <c r="V270" s="46">
        <f>(Dashboard!$C$19*tblHistory[[#This Row],[BIZD S]]+Dashboard!$C$20*tblHistory[[#This Row],[BKLN S]]+Dashboard!$C$21*tblHistory[[#This Row],[HY S]])/(Dashboard!$C$19+Dashboard!$C$20+Dashboard!$C$21)*100</f>
        <v/>
      </c>
      <c r="W27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0" s="46">
        <f>IFERROR(--(tblHistory[[#This Row],[Score]]&gt;=50),0)</f>
        <v/>
      </c>
      <c r="Y270" s="46">
        <f>IFERROR(--AND(tblHistory[[#This Row],[Score]]&gt;=60,OR(AND(tblHistory[[#This Row],[BIZD S]]&gt;=0.8,tblHistory[[#This Row],[BKLN S]]&gt;=0.5),tblHistory[[#This Row],[CCC S]]&gt;=0.8)),0)</f>
        <v/>
      </c>
      <c r="Z270" s="46">
        <f>IFERROR(--AND(tblHistory[[#This Row],[Score]]&gt;=70,tblHistory[[#This Row],[SOX S]]&gt;=0.83,tblHistory[[#This Row],[AIQ S]]&gt;=0.8),0)</f>
        <v/>
      </c>
      <c r="AA27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1">
      <c r="A271" s="42" t="n">
        <v>45933</v>
      </c>
      <c r="B271" s="43" t="n">
        <v>24785.5195</v>
      </c>
      <c r="C271" s="43" t="n">
        <v>6583.7402</v>
      </c>
      <c r="D271" s="43" t="n">
        <v>50.1661</v>
      </c>
      <c r="E271" s="43" t="n">
        <v>20.9284</v>
      </c>
      <c r="F271" s="44" t="n">
        <v>95</v>
      </c>
      <c r="G271" s="44" t="n">
        <v>811</v>
      </c>
      <c r="H271" s="43" t="n">
        <v>12.7627</v>
      </c>
      <c r="I271" s="43" t="n">
        <v>19.5395</v>
      </c>
      <c r="J271" s="44" t="n">
        <v>280</v>
      </c>
      <c r="K27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1" s="46">
        <f>(Dashboard!$C$13*tblHistory[[#This Row],[NDX S]]+Dashboard!$C$14*tblHistory[[#This Row],[SOX S]]+Dashboard!$C$15*tblHistory[[#This Row],[AIQ S]])/(Dashboard!$C$13+Dashboard!$C$14+Dashboard!$C$15)*100</f>
        <v/>
      </c>
      <c r="U271" s="46">
        <f>(Dashboard!$C$16*tblHistory[[#This Row],[DTCR S]]+Dashboard!$C$17*tblHistory[[#This Row],[BBB S]]+Dashboard!$C$18*tblHistory[[#This Row],[CCC S]])/(Dashboard!$C$16+Dashboard!$C$17+Dashboard!$C$18)*100</f>
        <v/>
      </c>
      <c r="V271" s="46">
        <f>(Dashboard!$C$19*tblHistory[[#This Row],[BIZD S]]+Dashboard!$C$20*tblHistory[[#This Row],[BKLN S]]+Dashboard!$C$21*tblHistory[[#This Row],[HY S]])/(Dashboard!$C$19+Dashboard!$C$20+Dashboard!$C$21)*100</f>
        <v/>
      </c>
      <c r="W27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1" s="46">
        <f>IFERROR(--(tblHistory[[#This Row],[Score]]&gt;=50),0)</f>
        <v/>
      </c>
      <c r="Y271" s="46">
        <f>IFERROR(--AND(tblHistory[[#This Row],[Score]]&gt;=60,OR(AND(tblHistory[[#This Row],[BIZD S]]&gt;=0.8,tblHistory[[#This Row],[BKLN S]]&gt;=0.5),tblHistory[[#This Row],[CCC S]]&gt;=0.8)),0)</f>
        <v/>
      </c>
      <c r="Z271" s="46">
        <f>IFERROR(--AND(tblHistory[[#This Row],[Score]]&gt;=70,tblHistory[[#This Row],[SOX S]]&gt;=0.83,tblHistory[[#This Row],[AIQ S]]&gt;=0.8),0)</f>
        <v/>
      </c>
      <c r="AA27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2">
      <c r="A272" s="42" t="n">
        <v>45932</v>
      </c>
      <c r="B272" s="43" t="n">
        <v>24892.7598</v>
      </c>
      <c r="C272" s="43" t="n">
        <v>6626.3799</v>
      </c>
      <c r="D272" s="43" t="n">
        <v>50.276</v>
      </c>
      <c r="E272" s="43" t="n">
        <v>20.9086</v>
      </c>
      <c r="F272" s="44" t="n">
        <v>96</v>
      </c>
      <c r="G272" s="44" t="n">
        <v>812</v>
      </c>
      <c r="H272" s="43" t="n">
        <v>12.8957</v>
      </c>
      <c r="I272" s="43" t="n">
        <v>19.5208</v>
      </c>
      <c r="J272" s="44" t="n">
        <v>281</v>
      </c>
      <c r="K27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2" s="46">
        <f>(Dashboard!$C$13*tblHistory[[#This Row],[NDX S]]+Dashboard!$C$14*tblHistory[[#This Row],[SOX S]]+Dashboard!$C$15*tblHistory[[#This Row],[AIQ S]])/(Dashboard!$C$13+Dashboard!$C$14+Dashboard!$C$15)*100</f>
        <v/>
      </c>
      <c r="U272" s="46">
        <f>(Dashboard!$C$16*tblHistory[[#This Row],[DTCR S]]+Dashboard!$C$17*tblHistory[[#This Row],[BBB S]]+Dashboard!$C$18*tblHistory[[#This Row],[CCC S]])/(Dashboard!$C$16+Dashboard!$C$17+Dashboard!$C$18)*100</f>
        <v/>
      </c>
      <c r="V272" s="46">
        <f>(Dashboard!$C$19*tblHistory[[#This Row],[BIZD S]]+Dashboard!$C$20*tblHistory[[#This Row],[BKLN S]]+Dashboard!$C$21*tblHistory[[#This Row],[HY S]])/(Dashboard!$C$19+Dashboard!$C$20+Dashboard!$C$21)*100</f>
        <v/>
      </c>
      <c r="W27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2" s="46">
        <f>IFERROR(--(tblHistory[[#This Row],[Score]]&gt;=50),0)</f>
        <v/>
      </c>
      <c r="Y272" s="46">
        <f>IFERROR(--AND(tblHistory[[#This Row],[Score]]&gt;=60,OR(AND(tblHistory[[#This Row],[BIZD S]]&gt;=0.8,tblHistory[[#This Row],[BKLN S]]&gt;=0.5),tblHistory[[#This Row],[CCC S]]&gt;=0.8)),0)</f>
        <v/>
      </c>
      <c r="Z272" s="46">
        <f>IFERROR(--AND(tblHistory[[#This Row],[Score]]&gt;=70,tblHistory[[#This Row],[SOX S]]&gt;=0.83,tblHistory[[#This Row],[AIQ S]]&gt;=0.8),0)</f>
        <v/>
      </c>
      <c r="AA27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3">
      <c r="A273" s="42" t="n">
        <v>45931</v>
      </c>
      <c r="B273" s="43" t="n">
        <v>24800.8594</v>
      </c>
      <c r="C273" s="43" t="n">
        <v>6500.2798</v>
      </c>
      <c r="D273" s="43" t="n">
        <v>49.8464</v>
      </c>
      <c r="E273" s="43" t="n">
        <v>20.6116</v>
      </c>
      <c r="F273" s="44" t="n">
        <v>97</v>
      </c>
      <c r="G273" s="44" t="n">
        <v>810</v>
      </c>
      <c r="H273" s="43" t="n">
        <v>12.7006</v>
      </c>
      <c r="I273" s="43" t="n">
        <v>19.5115</v>
      </c>
      <c r="J273" s="44" t="n">
        <v>281</v>
      </c>
      <c r="K27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3" s="46">
        <f>(Dashboard!$C$13*tblHistory[[#This Row],[NDX S]]+Dashboard!$C$14*tblHistory[[#This Row],[SOX S]]+Dashboard!$C$15*tblHistory[[#This Row],[AIQ S]])/(Dashboard!$C$13+Dashboard!$C$14+Dashboard!$C$15)*100</f>
        <v/>
      </c>
      <c r="U273" s="46">
        <f>(Dashboard!$C$16*tblHistory[[#This Row],[DTCR S]]+Dashboard!$C$17*tblHistory[[#This Row],[BBB S]]+Dashboard!$C$18*tblHistory[[#This Row],[CCC S]])/(Dashboard!$C$16+Dashboard!$C$17+Dashboard!$C$18)*100</f>
        <v/>
      </c>
      <c r="V273" s="46">
        <f>(Dashboard!$C$19*tblHistory[[#This Row],[BIZD S]]+Dashboard!$C$20*tblHistory[[#This Row],[BKLN S]]+Dashboard!$C$21*tblHistory[[#This Row],[HY S]])/(Dashboard!$C$19+Dashboard!$C$20+Dashboard!$C$21)*100</f>
        <v/>
      </c>
      <c r="W27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3" s="46">
        <f>IFERROR(--(tblHistory[[#This Row],[Score]]&gt;=50),0)</f>
        <v/>
      </c>
      <c r="Y273" s="46">
        <f>IFERROR(--AND(tblHistory[[#This Row],[Score]]&gt;=60,OR(AND(tblHistory[[#This Row],[BIZD S]]&gt;=0.8,tblHistory[[#This Row],[BKLN S]]&gt;=0.5),tblHistory[[#This Row],[CCC S]]&gt;=0.8)),0)</f>
        <v/>
      </c>
      <c r="Z273" s="46">
        <f>IFERROR(--AND(tblHistory[[#This Row],[Score]]&gt;=70,tblHistory[[#This Row],[SOX S]]&gt;=0.83,tblHistory[[#This Row],[AIQ S]]&gt;=0.8),0)</f>
        <v/>
      </c>
      <c r="AA27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4">
      <c r="A274" s="42" t="n">
        <v>45930</v>
      </c>
      <c r="B274" s="43" t="n">
        <v>24679.9902</v>
      </c>
      <c r="C274" s="43" t="n">
        <v>6369.8198</v>
      </c>
      <c r="D274" s="43" t="n">
        <v>49.3468</v>
      </c>
      <c r="E274" s="43" t="n">
        <v>20.275</v>
      </c>
      <c r="F274" s="44" t="n">
        <v>97</v>
      </c>
      <c r="G274" s="44" t="n">
        <v>807</v>
      </c>
      <c r="H274" s="43" t="n">
        <v>12.8948</v>
      </c>
      <c r="I274" s="43" t="n">
        <v>19.5301</v>
      </c>
      <c r="J274" s="44" t="n">
        <v>280</v>
      </c>
      <c r="K27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4" s="46">
        <f>(Dashboard!$C$13*tblHistory[[#This Row],[NDX S]]+Dashboard!$C$14*tblHistory[[#This Row],[SOX S]]+Dashboard!$C$15*tblHistory[[#This Row],[AIQ S]])/(Dashboard!$C$13+Dashboard!$C$14+Dashboard!$C$15)*100</f>
        <v/>
      </c>
      <c r="U274" s="46">
        <f>(Dashboard!$C$16*tblHistory[[#This Row],[DTCR S]]+Dashboard!$C$17*tblHistory[[#This Row],[BBB S]]+Dashboard!$C$18*tblHistory[[#This Row],[CCC S]])/(Dashboard!$C$16+Dashboard!$C$17+Dashboard!$C$18)*100</f>
        <v/>
      </c>
      <c r="V274" s="46">
        <f>(Dashboard!$C$19*tblHistory[[#This Row],[BIZD S]]+Dashboard!$C$20*tblHistory[[#This Row],[BKLN S]]+Dashboard!$C$21*tblHistory[[#This Row],[HY S]])/(Dashboard!$C$19+Dashboard!$C$20+Dashboard!$C$21)*100</f>
        <v/>
      </c>
      <c r="W27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4" s="46">
        <f>IFERROR(--(tblHistory[[#This Row],[Score]]&gt;=50),0)</f>
        <v/>
      </c>
      <c r="Y274" s="46">
        <f>IFERROR(--AND(tblHistory[[#This Row],[Score]]&gt;=60,OR(AND(tblHistory[[#This Row],[BIZD S]]&gt;=0.8,tblHistory[[#This Row],[BKLN S]]&gt;=0.5),tblHistory[[#This Row],[CCC S]]&gt;=0.8)),0)</f>
        <v/>
      </c>
      <c r="Z274" s="46">
        <f>IFERROR(--AND(tblHistory[[#This Row],[Score]]&gt;=70,tblHistory[[#This Row],[SOX S]]&gt;=0.83,tblHistory[[#This Row],[AIQ S]]&gt;=0.8),0)</f>
        <v/>
      </c>
      <c r="AA27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5">
      <c r="A275" s="42" t="n">
        <v>45929</v>
      </c>
      <c r="B275" s="43" t="n">
        <v>24611.3496</v>
      </c>
      <c r="C275" s="43" t="n">
        <v>6315.1099</v>
      </c>
      <c r="D275" s="43" t="n">
        <v>49.2969</v>
      </c>
      <c r="E275" s="43" t="n">
        <v>20.1067</v>
      </c>
      <c r="F275" s="44" t="n">
        <v>94</v>
      </c>
      <c r="G275" s="44" t="n">
        <v>798</v>
      </c>
      <c r="H275" s="43" t="n">
        <v>12.9121</v>
      </c>
      <c r="I275" s="43" t="n">
        <v>19.5115</v>
      </c>
      <c r="J275" s="44" t="n">
        <v>274</v>
      </c>
      <c r="K27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5" s="46">
        <f>(Dashboard!$C$13*tblHistory[[#This Row],[NDX S]]+Dashboard!$C$14*tblHistory[[#This Row],[SOX S]]+Dashboard!$C$15*tblHistory[[#This Row],[AIQ S]])/(Dashboard!$C$13+Dashboard!$C$14+Dashboard!$C$15)*100</f>
        <v/>
      </c>
      <c r="U275" s="46">
        <f>(Dashboard!$C$16*tblHistory[[#This Row],[DTCR S]]+Dashboard!$C$17*tblHistory[[#This Row],[BBB S]]+Dashboard!$C$18*tblHistory[[#This Row],[CCC S]])/(Dashboard!$C$16+Dashboard!$C$17+Dashboard!$C$18)*100</f>
        <v/>
      </c>
      <c r="V275" s="46">
        <f>(Dashboard!$C$19*tblHistory[[#This Row],[BIZD S]]+Dashboard!$C$20*tblHistory[[#This Row],[BKLN S]]+Dashboard!$C$21*tblHistory[[#This Row],[HY S]])/(Dashboard!$C$19+Dashboard!$C$20+Dashboard!$C$21)*100</f>
        <v/>
      </c>
      <c r="W27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5" s="46">
        <f>IFERROR(--(tblHistory[[#This Row],[Score]]&gt;=50),0)</f>
        <v/>
      </c>
      <c r="Y275" s="46">
        <f>IFERROR(--AND(tblHistory[[#This Row],[Score]]&gt;=60,OR(AND(tblHistory[[#This Row],[BIZD S]]&gt;=0.8,tblHistory[[#This Row],[BKLN S]]&gt;=0.5),tblHistory[[#This Row],[CCC S]]&gt;=0.8)),0)</f>
        <v/>
      </c>
      <c r="Z275" s="46">
        <f>IFERROR(--AND(tblHistory[[#This Row],[Score]]&gt;=70,tblHistory[[#This Row],[SOX S]]&gt;=0.83,tblHistory[[#This Row],[AIQ S]]&gt;=0.8),0)</f>
        <v/>
      </c>
      <c r="AA27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6">
      <c r="A276" s="42" t="n">
        <v>45926</v>
      </c>
      <c r="B276" s="43" t="n">
        <v>24503.8496</v>
      </c>
      <c r="C276" s="43" t="n">
        <v>6305.0498</v>
      </c>
      <c r="D276" s="43" t="n">
        <v>48.8772</v>
      </c>
      <c r="E276" s="43" t="n">
        <v>20.1661</v>
      </c>
      <c r="F276" s="44" t="n">
        <v>95</v>
      </c>
      <c r="G276" s="44" t="n">
        <v>801</v>
      </c>
      <c r="H276" s="43" t="n">
        <v>12.9811</v>
      </c>
      <c r="I276" s="43" t="n">
        <v>19.5021</v>
      </c>
      <c r="J276" s="44" t="n">
        <v>275</v>
      </c>
      <c r="K27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6" s="46">
        <f>(Dashboard!$C$13*tblHistory[[#This Row],[NDX S]]+Dashboard!$C$14*tblHistory[[#This Row],[SOX S]]+Dashboard!$C$15*tblHistory[[#This Row],[AIQ S]])/(Dashboard!$C$13+Dashboard!$C$14+Dashboard!$C$15)*100</f>
        <v/>
      </c>
      <c r="U276" s="46">
        <f>(Dashboard!$C$16*tblHistory[[#This Row],[DTCR S]]+Dashboard!$C$17*tblHistory[[#This Row],[BBB S]]+Dashboard!$C$18*tblHistory[[#This Row],[CCC S]])/(Dashboard!$C$16+Dashboard!$C$17+Dashboard!$C$18)*100</f>
        <v/>
      </c>
      <c r="V276" s="46">
        <f>(Dashboard!$C$19*tblHistory[[#This Row],[BIZD S]]+Dashboard!$C$20*tblHistory[[#This Row],[BKLN S]]+Dashboard!$C$21*tblHistory[[#This Row],[HY S]])/(Dashboard!$C$19+Dashboard!$C$20+Dashboard!$C$21)*100</f>
        <v/>
      </c>
      <c r="W27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6" s="46">
        <f>IFERROR(--(tblHistory[[#This Row],[Score]]&gt;=50),0)</f>
        <v/>
      </c>
      <c r="Y276" s="46">
        <f>IFERROR(--AND(tblHistory[[#This Row],[Score]]&gt;=60,OR(AND(tblHistory[[#This Row],[BIZD S]]&gt;=0.8,tblHistory[[#This Row],[BKLN S]]&gt;=0.5),tblHistory[[#This Row],[CCC S]]&gt;=0.8)),0)</f>
        <v/>
      </c>
      <c r="Z276" s="46">
        <f>IFERROR(--AND(tblHistory[[#This Row],[Score]]&gt;=70,tblHistory[[#This Row],[SOX S]]&gt;=0.83,tblHistory[[#This Row],[AIQ S]]&gt;=0.8),0)</f>
        <v/>
      </c>
      <c r="AA27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7">
      <c r="A277" s="42" t="n">
        <v>45925</v>
      </c>
      <c r="B277" s="43" t="n">
        <v>24397.3105</v>
      </c>
      <c r="C277" s="43" t="n">
        <v>6284.6699</v>
      </c>
      <c r="D277" s="43" t="n">
        <v>48.8772</v>
      </c>
      <c r="E277" s="43" t="n">
        <v>20.2849</v>
      </c>
      <c r="F277" s="44" t="n">
        <v>96</v>
      </c>
      <c r="G277" s="44" t="n">
        <v>803</v>
      </c>
      <c r="H277" s="43" t="n">
        <v>12.9984</v>
      </c>
      <c r="I277" s="43" t="n">
        <v>19.4928</v>
      </c>
      <c r="J277" s="44" t="n">
        <v>276</v>
      </c>
      <c r="K27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7" s="46">
        <f>(Dashboard!$C$13*tblHistory[[#This Row],[NDX S]]+Dashboard!$C$14*tblHistory[[#This Row],[SOX S]]+Dashboard!$C$15*tblHistory[[#This Row],[AIQ S]])/(Dashboard!$C$13+Dashboard!$C$14+Dashboard!$C$15)*100</f>
        <v/>
      </c>
      <c r="U277" s="46">
        <f>(Dashboard!$C$16*tblHistory[[#This Row],[DTCR S]]+Dashboard!$C$17*tblHistory[[#This Row],[BBB S]]+Dashboard!$C$18*tblHistory[[#This Row],[CCC S]])/(Dashboard!$C$16+Dashboard!$C$17+Dashboard!$C$18)*100</f>
        <v/>
      </c>
      <c r="V277" s="46">
        <f>(Dashboard!$C$19*tblHistory[[#This Row],[BIZD S]]+Dashboard!$C$20*tblHistory[[#This Row],[BKLN S]]+Dashboard!$C$21*tblHistory[[#This Row],[HY S]])/(Dashboard!$C$19+Dashboard!$C$20+Dashboard!$C$21)*100</f>
        <v/>
      </c>
      <c r="W27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7" s="46">
        <f>IFERROR(--(tblHistory[[#This Row],[Score]]&gt;=50),0)</f>
        <v/>
      </c>
      <c r="Y277" s="46">
        <f>IFERROR(--AND(tblHistory[[#This Row],[Score]]&gt;=60,OR(AND(tblHistory[[#This Row],[BIZD S]]&gt;=0.8,tblHistory[[#This Row],[BKLN S]]&gt;=0.5),tblHistory[[#This Row],[CCC S]]&gt;=0.8)),0)</f>
        <v/>
      </c>
      <c r="Z277" s="46">
        <f>IFERROR(--AND(tblHistory[[#This Row],[Score]]&gt;=70,tblHistory[[#This Row],[SOX S]]&gt;=0.83,tblHistory[[#This Row],[AIQ S]]&gt;=0.8),0)</f>
        <v/>
      </c>
      <c r="AA27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8">
      <c r="A278" s="42" t="n">
        <v>45924</v>
      </c>
      <c r="B278" s="43" t="n">
        <v>24503.5703</v>
      </c>
      <c r="C278" s="43" t="n">
        <v>6297</v>
      </c>
      <c r="D278" s="43" t="n">
        <v>49.197</v>
      </c>
      <c r="E278" s="43" t="n">
        <v>20.275</v>
      </c>
      <c r="F278" s="44" t="n">
        <v>95</v>
      </c>
      <c r="G278" s="44" t="n">
        <v>794</v>
      </c>
      <c r="H278" s="43" t="n">
        <v>12.9466</v>
      </c>
      <c r="I278" s="43" t="n">
        <v>19.5115</v>
      </c>
      <c r="J278" s="44" t="n">
        <v>270</v>
      </c>
      <c r="K27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8" s="46">
        <f>(Dashboard!$C$13*tblHistory[[#This Row],[NDX S]]+Dashboard!$C$14*tblHistory[[#This Row],[SOX S]]+Dashboard!$C$15*tblHistory[[#This Row],[AIQ S]])/(Dashboard!$C$13+Dashboard!$C$14+Dashboard!$C$15)*100</f>
        <v/>
      </c>
      <c r="U278" s="46">
        <f>(Dashboard!$C$16*tblHistory[[#This Row],[DTCR S]]+Dashboard!$C$17*tblHistory[[#This Row],[BBB S]]+Dashboard!$C$18*tblHistory[[#This Row],[CCC S]])/(Dashboard!$C$16+Dashboard!$C$17+Dashboard!$C$18)*100</f>
        <v/>
      </c>
      <c r="V278" s="46">
        <f>(Dashboard!$C$19*tblHistory[[#This Row],[BIZD S]]+Dashboard!$C$20*tblHistory[[#This Row],[BKLN S]]+Dashboard!$C$21*tblHistory[[#This Row],[HY S]])/(Dashboard!$C$19+Dashboard!$C$20+Dashboard!$C$21)*100</f>
        <v/>
      </c>
      <c r="W27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8" s="46">
        <f>IFERROR(--(tblHistory[[#This Row],[Score]]&gt;=50),0)</f>
        <v/>
      </c>
      <c r="Y278" s="46">
        <f>IFERROR(--AND(tblHistory[[#This Row],[Score]]&gt;=60,OR(AND(tblHistory[[#This Row],[BIZD S]]&gt;=0.8,tblHistory[[#This Row],[BKLN S]]&gt;=0.5),tblHistory[[#This Row],[CCC S]]&gt;=0.8)),0)</f>
        <v/>
      </c>
      <c r="Z278" s="46">
        <f>IFERROR(--AND(tblHistory[[#This Row],[Score]]&gt;=70,tblHistory[[#This Row],[SOX S]]&gt;=0.83,tblHistory[[#This Row],[AIQ S]]&gt;=0.8),0)</f>
        <v/>
      </c>
      <c r="AA27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79">
      <c r="A279" s="42" t="n">
        <v>45923</v>
      </c>
      <c r="B279" s="43" t="n">
        <v>24580.1699</v>
      </c>
      <c r="C279" s="43" t="n">
        <v>6308.21</v>
      </c>
      <c r="D279" s="43" t="n">
        <v>49.187</v>
      </c>
      <c r="E279" s="43" t="n">
        <v>20.3443</v>
      </c>
      <c r="F279" s="44" t="n">
        <v>94</v>
      </c>
      <c r="G279" s="44" t="n">
        <v>793</v>
      </c>
      <c r="H279" s="43" t="n">
        <v>13.1192</v>
      </c>
      <c r="I279" s="43" t="n">
        <v>19.5208</v>
      </c>
      <c r="J279" s="44" t="n">
        <v>271</v>
      </c>
      <c r="K27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7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7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7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7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7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7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7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7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79" s="46">
        <f>(Dashboard!$C$13*tblHistory[[#This Row],[NDX S]]+Dashboard!$C$14*tblHistory[[#This Row],[SOX S]]+Dashboard!$C$15*tblHistory[[#This Row],[AIQ S]])/(Dashboard!$C$13+Dashboard!$C$14+Dashboard!$C$15)*100</f>
        <v/>
      </c>
      <c r="U279" s="46">
        <f>(Dashboard!$C$16*tblHistory[[#This Row],[DTCR S]]+Dashboard!$C$17*tblHistory[[#This Row],[BBB S]]+Dashboard!$C$18*tblHistory[[#This Row],[CCC S]])/(Dashboard!$C$16+Dashboard!$C$17+Dashboard!$C$18)*100</f>
        <v/>
      </c>
      <c r="V279" s="46">
        <f>(Dashboard!$C$19*tblHistory[[#This Row],[BIZD S]]+Dashboard!$C$20*tblHistory[[#This Row],[BKLN S]]+Dashboard!$C$21*tblHistory[[#This Row],[HY S]])/(Dashboard!$C$19+Dashboard!$C$20+Dashboard!$C$21)*100</f>
        <v/>
      </c>
      <c r="W27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79" s="46">
        <f>IFERROR(--(tblHistory[[#This Row],[Score]]&gt;=50),0)</f>
        <v/>
      </c>
      <c r="Y279" s="46">
        <f>IFERROR(--AND(tblHistory[[#This Row],[Score]]&gt;=60,OR(AND(tblHistory[[#This Row],[BIZD S]]&gt;=0.8,tblHistory[[#This Row],[BKLN S]]&gt;=0.5),tblHistory[[#This Row],[CCC S]]&gt;=0.8)),0)</f>
        <v/>
      </c>
      <c r="Z279" s="46">
        <f>IFERROR(--AND(tblHistory[[#This Row],[Score]]&gt;=70,tblHistory[[#This Row],[SOX S]]&gt;=0.83,tblHistory[[#This Row],[AIQ S]]&gt;=0.8),0)</f>
        <v/>
      </c>
      <c r="AA27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7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7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7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7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0">
      <c r="A280" s="42" t="n">
        <v>45922</v>
      </c>
      <c r="B280" s="43" t="n">
        <v>24761.0703</v>
      </c>
      <c r="C280" s="43" t="n">
        <v>6330.1201</v>
      </c>
      <c r="D280" s="43" t="n">
        <v>49.6166</v>
      </c>
      <c r="E280" s="43" t="n">
        <v>20.4334</v>
      </c>
      <c r="F280" s="44" t="n">
        <v>93</v>
      </c>
      <c r="G280" s="44" t="n">
        <v>790</v>
      </c>
      <c r="H280" s="43" t="n">
        <v>13.1969</v>
      </c>
      <c r="I280" s="43" t="n">
        <v>19.5208</v>
      </c>
      <c r="J280" s="44" t="n">
        <v>269</v>
      </c>
      <c r="K28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0" s="46">
        <f>(Dashboard!$C$13*tblHistory[[#This Row],[NDX S]]+Dashboard!$C$14*tblHistory[[#This Row],[SOX S]]+Dashboard!$C$15*tblHistory[[#This Row],[AIQ S]])/(Dashboard!$C$13+Dashboard!$C$14+Dashboard!$C$15)*100</f>
        <v/>
      </c>
      <c r="U280" s="46">
        <f>(Dashboard!$C$16*tblHistory[[#This Row],[DTCR S]]+Dashboard!$C$17*tblHistory[[#This Row],[BBB S]]+Dashboard!$C$18*tblHistory[[#This Row],[CCC S]])/(Dashboard!$C$16+Dashboard!$C$17+Dashboard!$C$18)*100</f>
        <v/>
      </c>
      <c r="V280" s="46">
        <f>(Dashboard!$C$19*tblHistory[[#This Row],[BIZD S]]+Dashboard!$C$20*tblHistory[[#This Row],[BKLN S]]+Dashboard!$C$21*tblHistory[[#This Row],[HY S]])/(Dashboard!$C$19+Dashboard!$C$20+Dashboard!$C$21)*100</f>
        <v/>
      </c>
      <c r="W28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0" s="46">
        <f>IFERROR(--(tblHistory[[#This Row],[Score]]&gt;=50),0)</f>
        <v/>
      </c>
      <c r="Y280" s="46">
        <f>IFERROR(--AND(tblHistory[[#This Row],[Score]]&gt;=60,OR(AND(tblHistory[[#This Row],[BIZD S]]&gt;=0.8,tblHistory[[#This Row],[BKLN S]]&gt;=0.5),tblHistory[[#This Row],[CCC S]]&gt;=0.8)),0)</f>
        <v/>
      </c>
      <c r="Z280" s="46">
        <f>IFERROR(--AND(tblHistory[[#This Row],[Score]]&gt;=70,tblHistory[[#This Row],[SOX S]]&gt;=0.83,tblHistory[[#This Row],[AIQ S]]&gt;=0.8),0)</f>
        <v/>
      </c>
      <c r="AA28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1">
      <c r="A281" s="42" t="n">
        <v>45919</v>
      </c>
      <c r="B281" s="43" t="n">
        <v>24626.25</v>
      </c>
      <c r="C281" s="43" t="n">
        <v>6232.25</v>
      </c>
      <c r="D281" s="43" t="n">
        <v>49.0971</v>
      </c>
      <c r="E281" s="43" t="n">
        <v>19.978</v>
      </c>
      <c r="F281" s="44" t="n">
        <v>93</v>
      </c>
      <c r="G281" s="44" t="n">
        <v>797</v>
      </c>
      <c r="H281" s="43" t="n">
        <v>13.5335</v>
      </c>
      <c r="I281" s="43" t="n">
        <v>19.5068</v>
      </c>
      <c r="J281" s="44" t="n">
        <v>272</v>
      </c>
      <c r="K28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1" s="46">
        <f>(Dashboard!$C$13*tblHistory[[#This Row],[NDX S]]+Dashboard!$C$14*tblHistory[[#This Row],[SOX S]]+Dashboard!$C$15*tblHistory[[#This Row],[AIQ S]])/(Dashboard!$C$13+Dashboard!$C$14+Dashboard!$C$15)*100</f>
        <v/>
      </c>
      <c r="U281" s="46">
        <f>(Dashboard!$C$16*tblHistory[[#This Row],[DTCR S]]+Dashboard!$C$17*tblHistory[[#This Row],[BBB S]]+Dashboard!$C$18*tblHistory[[#This Row],[CCC S]])/(Dashboard!$C$16+Dashboard!$C$17+Dashboard!$C$18)*100</f>
        <v/>
      </c>
      <c r="V281" s="46">
        <f>(Dashboard!$C$19*tblHistory[[#This Row],[BIZD S]]+Dashboard!$C$20*tblHistory[[#This Row],[BKLN S]]+Dashboard!$C$21*tblHistory[[#This Row],[HY S]])/(Dashboard!$C$19+Dashboard!$C$20+Dashboard!$C$21)*100</f>
        <v/>
      </c>
      <c r="W28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1" s="46">
        <f>IFERROR(--(tblHistory[[#This Row],[Score]]&gt;=50),0)</f>
        <v/>
      </c>
      <c r="Y281" s="46">
        <f>IFERROR(--AND(tblHistory[[#This Row],[Score]]&gt;=60,OR(AND(tblHistory[[#This Row],[BIZD S]]&gt;=0.8,tblHistory[[#This Row],[BKLN S]]&gt;=0.5),tblHistory[[#This Row],[CCC S]]&gt;=0.8)),0)</f>
        <v/>
      </c>
      <c r="Z281" s="46">
        <f>IFERROR(--AND(tblHistory[[#This Row],[Score]]&gt;=70,tblHistory[[#This Row],[SOX S]]&gt;=0.83,tblHistory[[#This Row],[AIQ S]]&gt;=0.8),0)</f>
        <v/>
      </c>
      <c r="AA28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2">
      <c r="A282" s="42" t="n">
        <v>45918</v>
      </c>
      <c r="B282" s="43" t="n">
        <v>24454.8906</v>
      </c>
      <c r="C282" s="43" t="n">
        <v>6278.1602</v>
      </c>
      <c r="D282" s="43" t="n">
        <v>48.7374</v>
      </c>
      <c r="E282" s="43" t="n">
        <v>20.0275</v>
      </c>
      <c r="F282" s="44" t="n">
        <v>94</v>
      </c>
      <c r="G282" s="44" t="n">
        <v>795</v>
      </c>
      <c r="H282" s="43" t="n">
        <v>13.4645</v>
      </c>
      <c r="I282" s="43" t="n">
        <v>19.5068</v>
      </c>
      <c r="J282" s="44" t="n">
        <v>271</v>
      </c>
      <c r="K28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2" s="46">
        <f>(Dashboard!$C$13*tblHistory[[#This Row],[NDX S]]+Dashboard!$C$14*tblHistory[[#This Row],[SOX S]]+Dashboard!$C$15*tblHistory[[#This Row],[AIQ S]])/(Dashboard!$C$13+Dashboard!$C$14+Dashboard!$C$15)*100</f>
        <v/>
      </c>
      <c r="U282" s="46">
        <f>(Dashboard!$C$16*tblHistory[[#This Row],[DTCR S]]+Dashboard!$C$17*tblHistory[[#This Row],[BBB S]]+Dashboard!$C$18*tblHistory[[#This Row],[CCC S]])/(Dashboard!$C$16+Dashboard!$C$17+Dashboard!$C$18)*100</f>
        <v/>
      </c>
      <c r="V282" s="46">
        <f>(Dashboard!$C$19*tblHistory[[#This Row],[BIZD S]]+Dashboard!$C$20*tblHistory[[#This Row],[BKLN S]]+Dashboard!$C$21*tblHistory[[#This Row],[HY S]])/(Dashboard!$C$19+Dashboard!$C$20+Dashboard!$C$21)*100</f>
        <v/>
      </c>
      <c r="W28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2" s="46">
        <f>IFERROR(--(tblHistory[[#This Row],[Score]]&gt;=50),0)</f>
        <v/>
      </c>
      <c r="Y282" s="46">
        <f>IFERROR(--AND(tblHistory[[#This Row],[Score]]&gt;=60,OR(AND(tblHistory[[#This Row],[BIZD S]]&gt;=0.8,tblHistory[[#This Row],[BKLN S]]&gt;=0.5),tblHistory[[#This Row],[CCC S]]&gt;=0.8)),0)</f>
        <v/>
      </c>
      <c r="Z282" s="46">
        <f>IFERROR(--AND(tblHistory[[#This Row],[Score]]&gt;=70,tblHistory[[#This Row],[SOX S]]&gt;=0.83,tblHistory[[#This Row],[AIQ S]]&gt;=0.8),0)</f>
        <v/>
      </c>
      <c r="AA28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3">
      <c r="A283" s="42" t="n">
        <v>45917</v>
      </c>
      <c r="B283" s="43" t="n">
        <v>24223.6895</v>
      </c>
      <c r="C283" s="43" t="n">
        <v>6060.2202</v>
      </c>
      <c r="D283" s="43" t="n">
        <v>48.1978</v>
      </c>
      <c r="E283" s="43" t="n">
        <v>19.8097</v>
      </c>
      <c r="F283" s="44" t="n">
        <v>96</v>
      </c>
      <c r="G283" s="44" t="n">
        <v>808</v>
      </c>
      <c r="H283" s="43" t="n">
        <v>13.3091</v>
      </c>
      <c r="I283" s="43" t="n">
        <v>19.4883</v>
      </c>
      <c r="J283" s="44" t="n">
        <v>279</v>
      </c>
      <c r="K28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3" s="46">
        <f>(Dashboard!$C$13*tblHistory[[#This Row],[NDX S]]+Dashboard!$C$14*tblHistory[[#This Row],[SOX S]]+Dashboard!$C$15*tblHistory[[#This Row],[AIQ S]])/(Dashboard!$C$13+Dashboard!$C$14+Dashboard!$C$15)*100</f>
        <v/>
      </c>
      <c r="U283" s="46">
        <f>(Dashboard!$C$16*tblHistory[[#This Row],[DTCR S]]+Dashboard!$C$17*tblHistory[[#This Row],[BBB S]]+Dashboard!$C$18*tblHistory[[#This Row],[CCC S]])/(Dashboard!$C$16+Dashboard!$C$17+Dashboard!$C$18)*100</f>
        <v/>
      </c>
      <c r="V283" s="46">
        <f>(Dashboard!$C$19*tblHistory[[#This Row],[BIZD S]]+Dashboard!$C$20*tblHistory[[#This Row],[BKLN S]]+Dashboard!$C$21*tblHistory[[#This Row],[HY S]])/(Dashboard!$C$19+Dashboard!$C$20+Dashboard!$C$21)*100</f>
        <v/>
      </c>
      <c r="W28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3" s="46">
        <f>IFERROR(--(tblHistory[[#This Row],[Score]]&gt;=50),0)</f>
        <v/>
      </c>
      <c r="Y283" s="46">
        <f>IFERROR(--AND(tblHistory[[#This Row],[Score]]&gt;=60,OR(AND(tblHistory[[#This Row],[BIZD S]]&gt;=0.8,tblHistory[[#This Row],[BKLN S]]&gt;=0.5),tblHistory[[#This Row],[CCC S]]&gt;=0.8)),0)</f>
        <v/>
      </c>
      <c r="Z283" s="46">
        <f>IFERROR(--AND(tblHistory[[#This Row],[Score]]&gt;=70,tblHistory[[#This Row],[SOX S]]&gt;=0.83,tblHistory[[#This Row],[AIQ S]]&gt;=0.8),0)</f>
        <v/>
      </c>
      <c r="AA28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4">
      <c r="A284" s="42" t="n">
        <v>45916</v>
      </c>
      <c r="B284" s="43" t="n">
        <v>24274.25</v>
      </c>
      <c r="C284" s="43" t="n">
        <v>6079.2202</v>
      </c>
      <c r="D284" s="43" t="n">
        <v>48.1479</v>
      </c>
      <c r="E284" s="43" t="n">
        <v>19.6513</v>
      </c>
      <c r="F284" s="44" t="n">
        <v>96</v>
      </c>
      <c r="G284" s="44" t="n">
        <v>807</v>
      </c>
      <c r="H284" s="43" t="n">
        <v>13.3005</v>
      </c>
      <c r="I284" s="43" t="n">
        <v>19.4883</v>
      </c>
      <c r="J284" s="44" t="n">
        <v>279</v>
      </c>
      <c r="K28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4" s="46">
        <f>(Dashboard!$C$13*tblHistory[[#This Row],[NDX S]]+Dashboard!$C$14*tblHistory[[#This Row],[SOX S]]+Dashboard!$C$15*tblHistory[[#This Row],[AIQ S]])/(Dashboard!$C$13+Dashboard!$C$14+Dashboard!$C$15)*100</f>
        <v/>
      </c>
      <c r="U284" s="46">
        <f>(Dashboard!$C$16*tblHistory[[#This Row],[DTCR S]]+Dashboard!$C$17*tblHistory[[#This Row],[BBB S]]+Dashboard!$C$18*tblHistory[[#This Row],[CCC S]])/(Dashboard!$C$16+Dashboard!$C$17+Dashboard!$C$18)*100</f>
        <v/>
      </c>
      <c r="V284" s="46">
        <f>(Dashboard!$C$19*tblHistory[[#This Row],[BIZD S]]+Dashboard!$C$20*tblHistory[[#This Row],[BKLN S]]+Dashboard!$C$21*tblHistory[[#This Row],[HY S]])/(Dashboard!$C$19+Dashboard!$C$20+Dashboard!$C$21)*100</f>
        <v/>
      </c>
      <c r="W28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4" s="46">
        <f>IFERROR(--(tblHistory[[#This Row],[Score]]&gt;=50),0)</f>
        <v/>
      </c>
      <c r="Y284" s="46">
        <f>IFERROR(--AND(tblHistory[[#This Row],[Score]]&gt;=60,OR(AND(tblHistory[[#This Row],[BIZD S]]&gt;=0.8,tblHistory[[#This Row],[BKLN S]]&gt;=0.5),tblHistory[[#This Row],[CCC S]]&gt;=0.8)),0)</f>
        <v/>
      </c>
      <c r="Z284" s="46">
        <f>IFERROR(--AND(tblHistory[[#This Row],[Score]]&gt;=70,tblHistory[[#This Row],[SOX S]]&gt;=0.83,tblHistory[[#This Row],[AIQ S]]&gt;=0.8),0)</f>
        <v/>
      </c>
      <c r="AA28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5">
      <c r="A285" s="42" t="n">
        <v>45915</v>
      </c>
      <c r="B285" s="43" t="n">
        <v>24293.7793</v>
      </c>
      <c r="C285" s="43" t="n">
        <v>6059.8301</v>
      </c>
      <c r="D285" s="43" t="n">
        <v>47.9181</v>
      </c>
      <c r="E285" s="43" t="n">
        <v>19.6414</v>
      </c>
      <c r="F285" s="44" t="n">
        <v>95</v>
      </c>
      <c r="G285" s="44" t="n">
        <v>794</v>
      </c>
      <c r="H285" s="43" t="n">
        <v>13.4041</v>
      </c>
      <c r="I285" s="43" t="n">
        <v>19.479</v>
      </c>
      <c r="J285" s="44" t="n">
        <v>275</v>
      </c>
      <c r="K28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5" s="46">
        <f>(Dashboard!$C$13*tblHistory[[#This Row],[NDX S]]+Dashboard!$C$14*tblHistory[[#This Row],[SOX S]]+Dashboard!$C$15*tblHistory[[#This Row],[AIQ S]])/(Dashboard!$C$13+Dashboard!$C$14+Dashboard!$C$15)*100</f>
        <v/>
      </c>
      <c r="U285" s="46">
        <f>(Dashboard!$C$16*tblHistory[[#This Row],[DTCR S]]+Dashboard!$C$17*tblHistory[[#This Row],[BBB S]]+Dashboard!$C$18*tblHistory[[#This Row],[CCC S]])/(Dashboard!$C$16+Dashboard!$C$17+Dashboard!$C$18)*100</f>
        <v/>
      </c>
      <c r="V285" s="46">
        <f>(Dashboard!$C$19*tblHistory[[#This Row],[BIZD S]]+Dashboard!$C$20*tblHistory[[#This Row],[BKLN S]]+Dashboard!$C$21*tblHistory[[#This Row],[HY S]])/(Dashboard!$C$19+Dashboard!$C$20+Dashboard!$C$21)*100</f>
        <v/>
      </c>
      <c r="W28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5" s="46">
        <f>IFERROR(--(tblHistory[[#This Row],[Score]]&gt;=50),0)</f>
        <v/>
      </c>
      <c r="Y285" s="46">
        <f>IFERROR(--AND(tblHistory[[#This Row],[Score]]&gt;=60,OR(AND(tblHistory[[#This Row],[BIZD S]]&gt;=0.8,tblHistory[[#This Row],[BKLN S]]&gt;=0.5),tblHistory[[#This Row],[CCC S]]&gt;=0.8)),0)</f>
        <v/>
      </c>
      <c r="Z285" s="46">
        <f>IFERROR(--AND(tblHistory[[#This Row],[Score]]&gt;=70,tblHistory[[#This Row],[SOX S]]&gt;=0.83,tblHistory[[#This Row],[AIQ S]]&gt;=0.8),0)</f>
        <v/>
      </c>
      <c r="AA28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6">
      <c r="A286" s="42" t="n">
        <v>45912</v>
      </c>
      <c r="B286" s="43" t="n">
        <v>24092.1895</v>
      </c>
      <c r="C286" s="43" t="n">
        <v>6001.7402</v>
      </c>
      <c r="D286" s="43" t="n">
        <v>47.2986</v>
      </c>
      <c r="E286" s="43" t="n">
        <v>19.5226</v>
      </c>
      <c r="F286" s="44" t="n">
        <v>97</v>
      </c>
      <c r="G286" s="44" t="n">
        <v>797</v>
      </c>
      <c r="H286" s="43" t="n">
        <v>13.6802</v>
      </c>
      <c r="I286" s="43" t="n">
        <v>19.4604</v>
      </c>
      <c r="J286" s="44" t="n">
        <v>279</v>
      </c>
      <c r="K28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6" s="46">
        <f>(Dashboard!$C$13*tblHistory[[#This Row],[NDX S]]+Dashboard!$C$14*tblHistory[[#This Row],[SOX S]]+Dashboard!$C$15*tblHistory[[#This Row],[AIQ S]])/(Dashboard!$C$13+Dashboard!$C$14+Dashboard!$C$15)*100</f>
        <v/>
      </c>
      <c r="U286" s="46">
        <f>(Dashboard!$C$16*tblHistory[[#This Row],[DTCR S]]+Dashboard!$C$17*tblHistory[[#This Row],[BBB S]]+Dashboard!$C$18*tblHistory[[#This Row],[CCC S]])/(Dashboard!$C$16+Dashboard!$C$17+Dashboard!$C$18)*100</f>
        <v/>
      </c>
      <c r="V286" s="46">
        <f>(Dashboard!$C$19*tblHistory[[#This Row],[BIZD S]]+Dashboard!$C$20*tblHistory[[#This Row],[BKLN S]]+Dashboard!$C$21*tblHistory[[#This Row],[HY S]])/(Dashboard!$C$19+Dashboard!$C$20+Dashboard!$C$21)*100</f>
        <v/>
      </c>
      <c r="W28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6" s="46">
        <f>IFERROR(--(tblHistory[[#This Row],[Score]]&gt;=50),0)</f>
        <v/>
      </c>
      <c r="Y286" s="46">
        <f>IFERROR(--AND(tblHistory[[#This Row],[Score]]&gt;=60,OR(AND(tblHistory[[#This Row],[BIZD S]]&gt;=0.8,tblHistory[[#This Row],[BKLN S]]&gt;=0.5),tblHistory[[#This Row],[CCC S]]&gt;=0.8)),0)</f>
        <v/>
      </c>
      <c r="Z286" s="46">
        <f>IFERROR(--AND(tblHistory[[#This Row],[Score]]&gt;=70,tblHistory[[#This Row],[SOX S]]&gt;=0.83,tblHistory[[#This Row],[AIQ S]]&gt;=0.8),0)</f>
        <v/>
      </c>
      <c r="AA28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7">
      <c r="A287" s="42" t="n">
        <v>45911</v>
      </c>
      <c r="B287" s="43" t="n">
        <v>23992.5605</v>
      </c>
      <c r="C287" s="43" t="n">
        <v>5995.3901</v>
      </c>
      <c r="D287" s="43" t="n">
        <v>47.1587</v>
      </c>
      <c r="E287" s="43" t="n">
        <v>19.4434</v>
      </c>
      <c r="F287" s="44" t="n">
        <v>98</v>
      </c>
      <c r="G287" s="44" t="n">
        <v>792</v>
      </c>
      <c r="H287" s="43" t="n">
        <v>13.7752</v>
      </c>
      <c r="I287" s="43" t="n">
        <v>19.4604</v>
      </c>
      <c r="J287" s="44" t="n">
        <v>278</v>
      </c>
      <c r="K28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7" s="46">
        <f>(Dashboard!$C$13*tblHistory[[#This Row],[NDX S]]+Dashboard!$C$14*tblHistory[[#This Row],[SOX S]]+Dashboard!$C$15*tblHistory[[#This Row],[AIQ S]])/(Dashboard!$C$13+Dashboard!$C$14+Dashboard!$C$15)*100</f>
        <v/>
      </c>
      <c r="U287" s="46">
        <f>(Dashboard!$C$16*tblHistory[[#This Row],[DTCR S]]+Dashboard!$C$17*tblHistory[[#This Row],[BBB S]]+Dashboard!$C$18*tblHistory[[#This Row],[CCC S]])/(Dashboard!$C$16+Dashboard!$C$17+Dashboard!$C$18)*100</f>
        <v/>
      </c>
      <c r="V287" s="46">
        <f>(Dashboard!$C$19*tblHistory[[#This Row],[BIZD S]]+Dashboard!$C$20*tblHistory[[#This Row],[BKLN S]]+Dashboard!$C$21*tblHistory[[#This Row],[HY S]])/(Dashboard!$C$19+Dashboard!$C$20+Dashboard!$C$21)*100</f>
        <v/>
      </c>
      <c r="W28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7" s="46">
        <f>IFERROR(--(tblHistory[[#This Row],[Score]]&gt;=50),0)</f>
        <v/>
      </c>
      <c r="Y287" s="46">
        <f>IFERROR(--AND(tblHistory[[#This Row],[Score]]&gt;=60,OR(AND(tblHistory[[#This Row],[BIZD S]]&gt;=0.8,tblHistory[[#This Row],[BKLN S]]&gt;=0.5),tblHistory[[#This Row],[CCC S]]&gt;=0.8)),0)</f>
        <v/>
      </c>
      <c r="Z287" s="46">
        <f>IFERROR(--AND(tblHistory[[#This Row],[Score]]&gt;=70,tblHistory[[#This Row],[SOX S]]&gt;=0.83,tblHistory[[#This Row],[AIQ S]]&gt;=0.8),0)</f>
        <v/>
      </c>
      <c r="AA28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8">
      <c r="A288" s="42" t="n">
        <v>45910</v>
      </c>
      <c r="B288" s="43" t="n">
        <v>23849.2695</v>
      </c>
      <c r="C288" s="43" t="n">
        <v>5958.0898</v>
      </c>
      <c r="D288" s="43" t="n">
        <v>46.7891</v>
      </c>
      <c r="E288" s="43" t="n">
        <v>18.9781</v>
      </c>
      <c r="F288" s="44" t="n">
        <v>100</v>
      </c>
      <c r="G288" s="44" t="n">
        <v>800</v>
      </c>
      <c r="H288" s="43" t="n">
        <v>13.7061</v>
      </c>
      <c r="I288" s="43" t="n">
        <v>19.4326</v>
      </c>
      <c r="J288" s="44" t="n">
        <v>284</v>
      </c>
      <c r="K28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8" s="46">
        <f>(Dashboard!$C$13*tblHistory[[#This Row],[NDX S]]+Dashboard!$C$14*tblHistory[[#This Row],[SOX S]]+Dashboard!$C$15*tblHistory[[#This Row],[AIQ S]])/(Dashboard!$C$13+Dashboard!$C$14+Dashboard!$C$15)*100</f>
        <v/>
      </c>
      <c r="U288" s="46">
        <f>(Dashboard!$C$16*tblHistory[[#This Row],[DTCR S]]+Dashboard!$C$17*tblHistory[[#This Row],[BBB S]]+Dashboard!$C$18*tblHistory[[#This Row],[CCC S]])/(Dashboard!$C$16+Dashboard!$C$17+Dashboard!$C$18)*100</f>
        <v/>
      </c>
      <c r="V288" s="46">
        <f>(Dashboard!$C$19*tblHistory[[#This Row],[BIZD S]]+Dashboard!$C$20*tblHistory[[#This Row],[BKLN S]]+Dashboard!$C$21*tblHistory[[#This Row],[HY S]])/(Dashboard!$C$19+Dashboard!$C$20+Dashboard!$C$21)*100</f>
        <v/>
      </c>
      <c r="W28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8" s="46">
        <f>IFERROR(--(tblHistory[[#This Row],[Score]]&gt;=50),0)</f>
        <v/>
      </c>
      <c r="Y288" s="46">
        <f>IFERROR(--AND(tblHistory[[#This Row],[Score]]&gt;=60,OR(AND(tblHistory[[#This Row],[BIZD S]]&gt;=0.8,tblHistory[[#This Row],[BKLN S]]&gt;=0.5),tblHistory[[#This Row],[CCC S]]&gt;=0.8)),0)</f>
        <v/>
      </c>
      <c r="Z288" s="46">
        <f>IFERROR(--AND(tblHistory[[#This Row],[Score]]&gt;=70,tblHistory[[#This Row],[SOX S]]&gt;=0.83,tblHistory[[#This Row],[AIQ S]]&gt;=0.8),0)</f>
        <v/>
      </c>
      <c r="AA28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89">
      <c r="A289" s="42" t="n">
        <v>45909</v>
      </c>
      <c r="B289" s="43" t="n">
        <v>23839.8008</v>
      </c>
      <c r="C289" s="43" t="n">
        <v>5819.8301</v>
      </c>
      <c r="D289" s="43" t="n">
        <v>46.4294</v>
      </c>
      <c r="E289" s="43" t="n">
        <v>18.6217</v>
      </c>
      <c r="F289" s="44" t="n">
        <v>101</v>
      </c>
      <c r="G289" s="44" t="n">
        <v>805</v>
      </c>
      <c r="H289" s="43" t="n">
        <v>13.7493</v>
      </c>
      <c r="I289" s="43" t="n">
        <v>19.4419</v>
      </c>
      <c r="J289" s="44" t="n">
        <v>287</v>
      </c>
      <c r="K28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8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8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8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8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8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8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8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8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89" s="46">
        <f>(Dashboard!$C$13*tblHistory[[#This Row],[NDX S]]+Dashboard!$C$14*tblHistory[[#This Row],[SOX S]]+Dashboard!$C$15*tblHistory[[#This Row],[AIQ S]])/(Dashboard!$C$13+Dashboard!$C$14+Dashboard!$C$15)*100</f>
        <v/>
      </c>
      <c r="U289" s="46">
        <f>(Dashboard!$C$16*tblHistory[[#This Row],[DTCR S]]+Dashboard!$C$17*tblHistory[[#This Row],[BBB S]]+Dashboard!$C$18*tblHistory[[#This Row],[CCC S]])/(Dashboard!$C$16+Dashboard!$C$17+Dashboard!$C$18)*100</f>
        <v/>
      </c>
      <c r="V289" s="46">
        <f>(Dashboard!$C$19*tblHistory[[#This Row],[BIZD S]]+Dashboard!$C$20*tblHistory[[#This Row],[BKLN S]]+Dashboard!$C$21*tblHistory[[#This Row],[HY S]])/(Dashboard!$C$19+Dashboard!$C$20+Dashboard!$C$21)*100</f>
        <v/>
      </c>
      <c r="W28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89" s="46">
        <f>IFERROR(--(tblHistory[[#This Row],[Score]]&gt;=50),0)</f>
        <v/>
      </c>
      <c r="Y289" s="46">
        <f>IFERROR(--AND(tblHistory[[#This Row],[Score]]&gt;=60,OR(AND(tblHistory[[#This Row],[BIZD S]]&gt;=0.8,tblHistory[[#This Row],[BKLN S]]&gt;=0.5),tblHistory[[#This Row],[CCC S]]&gt;=0.8)),0)</f>
        <v/>
      </c>
      <c r="Z289" s="46">
        <f>IFERROR(--AND(tblHistory[[#This Row],[Score]]&gt;=70,tblHistory[[#This Row],[SOX S]]&gt;=0.83,tblHistory[[#This Row],[AIQ S]]&gt;=0.8),0)</f>
        <v/>
      </c>
      <c r="AA28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8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8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8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8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0">
      <c r="A290" s="42" t="n">
        <v>45908</v>
      </c>
      <c r="B290" s="43" t="n">
        <v>23762.3008</v>
      </c>
      <c r="C290" s="43" t="n">
        <v>5809.6099</v>
      </c>
      <c r="D290" s="43" t="n">
        <v>46.0697</v>
      </c>
      <c r="E290" s="43" t="n">
        <v>18.3346</v>
      </c>
      <c r="F290" s="44" t="n">
        <v>101</v>
      </c>
      <c r="G290" s="44" t="n">
        <v>801</v>
      </c>
      <c r="H290" s="43" t="n">
        <v>13.8442</v>
      </c>
      <c r="I290" s="43" t="n">
        <v>19.4326</v>
      </c>
      <c r="J290" s="44" t="n">
        <v>284</v>
      </c>
      <c r="K29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0" s="46">
        <f>(Dashboard!$C$13*tblHistory[[#This Row],[NDX S]]+Dashboard!$C$14*tblHistory[[#This Row],[SOX S]]+Dashboard!$C$15*tblHistory[[#This Row],[AIQ S]])/(Dashboard!$C$13+Dashboard!$C$14+Dashboard!$C$15)*100</f>
        <v/>
      </c>
      <c r="U290" s="46">
        <f>(Dashboard!$C$16*tblHistory[[#This Row],[DTCR S]]+Dashboard!$C$17*tblHistory[[#This Row],[BBB S]]+Dashboard!$C$18*tblHistory[[#This Row],[CCC S]])/(Dashboard!$C$16+Dashboard!$C$17+Dashboard!$C$18)*100</f>
        <v/>
      </c>
      <c r="V290" s="46">
        <f>(Dashboard!$C$19*tblHistory[[#This Row],[BIZD S]]+Dashboard!$C$20*tblHistory[[#This Row],[BKLN S]]+Dashboard!$C$21*tblHistory[[#This Row],[HY S]])/(Dashboard!$C$19+Dashboard!$C$20+Dashboard!$C$21)*100</f>
        <v/>
      </c>
      <c r="W29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0" s="46">
        <f>IFERROR(--(tblHistory[[#This Row],[Score]]&gt;=50),0)</f>
        <v/>
      </c>
      <c r="Y290" s="46">
        <f>IFERROR(--AND(tblHistory[[#This Row],[Score]]&gt;=60,OR(AND(tblHistory[[#This Row],[BIZD S]]&gt;=0.8,tblHistory[[#This Row],[BKLN S]]&gt;=0.5),tblHistory[[#This Row],[CCC S]]&gt;=0.8)),0)</f>
        <v/>
      </c>
      <c r="Z290" s="46">
        <f>IFERROR(--AND(tblHistory[[#This Row],[Score]]&gt;=70,tblHistory[[#This Row],[SOX S]]&gt;=0.83,tblHistory[[#This Row],[AIQ S]]&gt;=0.8),0)</f>
        <v/>
      </c>
      <c r="AA29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1">
      <c r="A291" s="42" t="n">
        <v>45905</v>
      </c>
      <c r="B291" s="43" t="n">
        <v>23652.4395</v>
      </c>
      <c r="C291" s="43" t="n">
        <v>5761.3999</v>
      </c>
      <c r="D291" s="43" t="n">
        <v>45.4203</v>
      </c>
      <c r="E291" s="43" t="n">
        <v>18.3643</v>
      </c>
      <c r="F291" s="44" t="n">
        <v>100</v>
      </c>
      <c r="G291" s="44" t="n">
        <v>803</v>
      </c>
      <c r="H291" s="43" t="n">
        <v>13.827</v>
      </c>
      <c r="I291" s="43" t="n">
        <v>19.4233</v>
      </c>
      <c r="J291" s="44" t="n">
        <v>283</v>
      </c>
      <c r="K29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1" s="46">
        <f>(Dashboard!$C$13*tblHistory[[#This Row],[NDX S]]+Dashboard!$C$14*tblHistory[[#This Row],[SOX S]]+Dashboard!$C$15*tblHistory[[#This Row],[AIQ S]])/(Dashboard!$C$13+Dashboard!$C$14+Dashboard!$C$15)*100</f>
        <v/>
      </c>
      <c r="U291" s="46">
        <f>(Dashboard!$C$16*tblHistory[[#This Row],[DTCR S]]+Dashboard!$C$17*tblHistory[[#This Row],[BBB S]]+Dashboard!$C$18*tblHistory[[#This Row],[CCC S]])/(Dashboard!$C$16+Dashboard!$C$17+Dashboard!$C$18)*100</f>
        <v/>
      </c>
      <c r="V291" s="46">
        <f>(Dashboard!$C$19*tblHistory[[#This Row],[BIZD S]]+Dashboard!$C$20*tblHistory[[#This Row],[BKLN S]]+Dashboard!$C$21*tblHistory[[#This Row],[HY S]])/(Dashboard!$C$19+Dashboard!$C$20+Dashboard!$C$21)*100</f>
        <v/>
      </c>
      <c r="W29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1" s="46">
        <f>IFERROR(--(tblHistory[[#This Row],[Score]]&gt;=50),0)</f>
        <v/>
      </c>
      <c r="Y291" s="46">
        <f>IFERROR(--AND(tblHistory[[#This Row],[Score]]&gt;=60,OR(AND(tblHistory[[#This Row],[BIZD S]]&gt;=0.8,tblHistory[[#This Row],[BKLN S]]&gt;=0.5),tblHistory[[#This Row],[CCC S]]&gt;=0.8)),0)</f>
        <v/>
      </c>
      <c r="Z291" s="46">
        <f>IFERROR(--AND(tblHistory[[#This Row],[Score]]&gt;=70,tblHistory[[#This Row],[SOX S]]&gt;=0.83,tblHistory[[#This Row],[AIQ S]]&gt;=0.8),0)</f>
        <v/>
      </c>
      <c r="AA29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2">
      <c r="A292" s="42" t="n">
        <v>45904</v>
      </c>
      <c r="B292" s="43" t="n">
        <v>23633.0098</v>
      </c>
      <c r="C292" s="43" t="n">
        <v>5667.8599</v>
      </c>
      <c r="D292" s="43" t="n">
        <v>45.0206</v>
      </c>
      <c r="E292" s="43" t="n">
        <v>18.1366</v>
      </c>
      <c r="F292" s="44" t="n">
        <v>100</v>
      </c>
      <c r="G292" s="44" t="n">
        <v>805</v>
      </c>
      <c r="H292" s="43" t="n">
        <v>13.8529</v>
      </c>
      <c r="I292" s="43" t="n">
        <v>19.4141</v>
      </c>
      <c r="J292" s="44" t="n">
        <v>284</v>
      </c>
      <c r="K29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2" s="46">
        <f>(Dashboard!$C$13*tblHistory[[#This Row],[NDX S]]+Dashboard!$C$14*tblHistory[[#This Row],[SOX S]]+Dashboard!$C$15*tblHistory[[#This Row],[AIQ S]])/(Dashboard!$C$13+Dashboard!$C$14+Dashboard!$C$15)*100</f>
        <v/>
      </c>
      <c r="U292" s="46">
        <f>(Dashboard!$C$16*tblHistory[[#This Row],[DTCR S]]+Dashboard!$C$17*tblHistory[[#This Row],[BBB S]]+Dashboard!$C$18*tblHistory[[#This Row],[CCC S]])/(Dashboard!$C$16+Dashboard!$C$17+Dashboard!$C$18)*100</f>
        <v/>
      </c>
      <c r="V292" s="46">
        <f>(Dashboard!$C$19*tblHistory[[#This Row],[BIZD S]]+Dashboard!$C$20*tblHistory[[#This Row],[BKLN S]]+Dashboard!$C$21*tblHistory[[#This Row],[HY S]])/(Dashboard!$C$19+Dashboard!$C$20+Dashboard!$C$21)*100</f>
        <v/>
      </c>
      <c r="W29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2" s="46">
        <f>IFERROR(--(tblHistory[[#This Row],[Score]]&gt;=50),0)</f>
        <v/>
      </c>
      <c r="Y292" s="46">
        <f>IFERROR(--AND(tblHistory[[#This Row],[Score]]&gt;=60,OR(AND(tblHistory[[#This Row],[BIZD S]]&gt;=0.8,tblHistory[[#This Row],[BKLN S]]&gt;=0.5),tblHistory[[#This Row],[CCC S]]&gt;=0.8)),0)</f>
        <v/>
      </c>
      <c r="Z292" s="46">
        <f>IFERROR(--AND(tblHistory[[#This Row],[Score]]&gt;=70,tblHistory[[#This Row],[SOX S]]&gt;=0.83,tblHistory[[#This Row],[AIQ S]]&gt;=0.8),0)</f>
        <v/>
      </c>
      <c r="AA29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3">
      <c r="A293" s="42" t="n">
        <v>45903</v>
      </c>
      <c r="B293" s="43" t="n">
        <v>23414.8398</v>
      </c>
      <c r="C293" s="43" t="n">
        <v>5592.8198</v>
      </c>
      <c r="D293" s="43" t="n">
        <v>44.8408</v>
      </c>
      <c r="E293" s="43" t="n">
        <v>18.1465</v>
      </c>
      <c r="F293" s="44" t="n">
        <v>102</v>
      </c>
      <c r="G293" s="44" t="n">
        <v>806</v>
      </c>
      <c r="H293" s="43" t="n">
        <v>13.7752</v>
      </c>
      <c r="I293" s="43" t="n">
        <v>19.4048</v>
      </c>
      <c r="J293" s="44" t="n">
        <v>288</v>
      </c>
      <c r="K29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3" s="46">
        <f>(Dashboard!$C$13*tblHistory[[#This Row],[NDX S]]+Dashboard!$C$14*tblHistory[[#This Row],[SOX S]]+Dashboard!$C$15*tblHistory[[#This Row],[AIQ S]])/(Dashboard!$C$13+Dashboard!$C$14+Dashboard!$C$15)*100</f>
        <v/>
      </c>
      <c r="U293" s="46">
        <f>(Dashboard!$C$16*tblHistory[[#This Row],[DTCR S]]+Dashboard!$C$17*tblHistory[[#This Row],[BBB S]]+Dashboard!$C$18*tblHistory[[#This Row],[CCC S]])/(Dashboard!$C$16+Dashboard!$C$17+Dashboard!$C$18)*100</f>
        <v/>
      </c>
      <c r="V293" s="46">
        <f>(Dashboard!$C$19*tblHistory[[#This Row],[BIZD S]]+Dashboard!$C$20*tblHistory[[#This Row],[BKLN S]]+Dashboard!$C$21*tblHistory[[#This Row],[HY S]])/(Dashboard!$C$19+Dashboard!$C$20+Dashboard!$C$21)*100</f>
        <v/>
      </c>
      <c r="W29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3" s="46">
        <f>IFERROR(--(tblHistory[[#This Row],[Score]]&gt;=50),0)</f>
        <v/>
      </c>
      <c r="Y293" s="46">
        <f>IFERROR(--AND(tblHistory[[#This Row],[Score]]&gt;=60,OR(AND(tblHistory[[#This Row],[BIZD S]]&gt;=0.8,tblHistory[[#This Row],[BKLN S]]&gt;=0.5),tblHistory[[#This Row],[CCC S]]&gt;=0.8)),0)</f>
        <v/>
      </c>
      <c r="Z293" s="46">
        <f>IFERROR(--AND(tblHistory[[#This Row],[Score]]&gt;=70,tblHistory[[#This Row],[SOX S]]&gt;=0.83,tblHistory[[#This Row],[AIQ S]]&gt;=0.8),0)</f>
        <v/>
      </c>
      <c r="AA29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4">
      <c r="A294" s="42" t="n">
        <v>45902</v>
      </c>
      <c r="B294" s="43" t="n">
        <v>23231.1094</v>
      </c>
      <c r="C294" s="43" t="n">
        <v>5605.46</v>
      </c>
      <c r="D294" s="43" t="n">
        <v>44.581</v>
      </c>
      <c r="E294" s="43" t="n">
        <v>18.3445</v>
      </c>
      <c r="F294" s="44" t="n">
        <v>103</v>
      </c>
      <c r="G294" s="44" t="n">
        <v>814</v>
      </c>
      <c r="H294" s="43" t="n">
        <v>13.8356</v>
      </c>
      <c r="I294" s="43" t="n">
        <v>19.4048</v>
      </c>
      <c r="J294" s="44" t="n">
        <v>292</v>
      </c>
      <c r="K29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4" s="46">
        <f>(Dashboard!$C$13*tblHistory[[#This Row],[NDX S]]+Dashboard!$C$14*tblHistory[[#This Row],[SOX S]]+Dashboard!$C$15*tblHistory[[#This Row],[AIQ S]])/(Dashboard!$C$13+Dashboard!$C$14+Dashboard!$C$15)*100</f>
        <v/>
      </c>
      <c r="U294" s="46">
        <f>(Dashboard!$C$16*tblHistory[[#This Row],[DTCR S]]+Dashboard!$C$17*tblHistory[[#This Row],[BBB S]]+Dashboard!$C$18*tblHistory[[#This Row],[CCC S]])/(Dashboard!$C$16+Dashboard!$C$17+Dashboard!$C$18)*100</f>
        <v/>
      </c>
      <c r="V294" s="46">
        <f>(Dashboard!$C$19*tblHistory[[#This Row],[BIZD S]]+Dashboard!$C$20*tblHistory[[#This Row],[BKLN S]]+Dashboard!$C$21*tblHistory[[#This Row],[HY S]])/(Dashboard!$C$19+Dashboard!$C$20+Dashboard!$C$21)*100</f>
        <v/>
      </c>
      <c r="W29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4" s="46">
        <f>IFERROR(--(tblHistory[[#This Row],[Score]]&gt;=50),0)</f>
        <v/>
      </c>
      <c r="Y294" s="46">
        <f>IFERROR(--AND(tblHistory[[#This Row],[Score]]&gt;=60,OR(AND(tblHistory[[#This Row],[BIZD S]]&gt;=0.8,tblHistory[[#This Row],[BKLN S]]&gt;=0.5),tblHistory[[#This Row],[CCC S]]&gt;=0.8)),0)</f>
        <v/>
      </c>
      <c r="Z294" s="46">
        <f>IFERROR(--AND(tblHistory[[#This Row],[Score]]&gt;=70,tblHistory[[#This Row],[SOX S]]&gt;=0.83,tblHistory[[#This Row],[AIQ S]]&gt;=0.8),0)</f>
        <v/>
      </c>
      <c r="AA29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5">
      <c r="A295" s="42" t="n">
        <v>45898</v>
      </c>
      <c r="B295" s="43" t="n">
        <v>23415.4199</v>
      </c>
      <c r="C295" s="43" t="n">
        <v>5668.9399</v>
      </c>
      <c r="D295" s="43" t="n">
        <v>45.0406</v>
      </c>
      <c r="E295" s="43" t="n">
        <v>18.7207</v>
      </c>
      <c r="F295" s="44" t="n">
        <v>101</v>
      </c>
      <c r="G295" s="44" t="n">
        <v>788</v>
      </c>
      <c r="H295" s="43" t="n">
        <v>13.896</v>
      </c>
      <c r="I295" s="43" t="n">
        <v>19.4048</v>
      </c>
      <c r="J295" s="44" t="n">
        <v>282</v>
      </c>
      <c r="K29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5" s="46">
        <f>(Dashboard!$C$13*tblHistory[[#This Row],[NDX S]]+Dashboard!$C$14*tblHistory[[#This Row],[SOX S]]+Dashboard!$C$15*tblHistory[[#This Row],[AIQ S]])/(Dashboard!$C$13+Dashboard!$C$14+Dashboard!$C$15)*100</f>
        <v/>
      </c>
      <c r="U295" s="46">
        <f>(Dashboard!$C$16*tblHistory[[#This Row],[DTCR S]]+Dashboard!$C$17*tblHistory[[#This Row],[BBB S]]+Dashboard!$C$18*tblHistory[[#This Row],[CCC S]])/(Dashboard!$C$16+Dashboard!$C$17+Dashboard!$C$18)*100</f>
        <v/>
      </c>
      <c r="V295" s="46">
        <f>(Dashboard!$C$19*tblHistory[[#This Row],[BIZD S]]+Dashboard!$C$20*tblHistory[[#This Row],[BKLN S]]+Dashboard!$C$21*tblHistory[[#This Row],[HY S]])/(Dashboard!$C$19+Dashboard!$C$20+Dashboard!$C$21)*100</f>
        <v/>
      </c>
      <c r="W29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5" s="46">
        <f>IFERROR(--(tblHistory[[#This Row],[Score]]&gt;=50),0)</f>
        <v/>
      </c>
      <c r="Y295" s="46">
        <f>IFERROR(--AND(tblHistory[[#This Row],[Score]]&gt;=60,OR(AND(tblHistory[[#This Row],[BIZD S]]&gt;=0.8,tblHistory[[#This Row],[BKLN S]]&gt;=0.5),tblHistory[[#This Row],[CCC S]]&gt;=0.8)),0)</f>
        <v/>
      </c>
      <c r="Z295" s="46">
        <f>IFERROR(--AND(tblHistory[[#This Row],[Score]]&gt;=70,tblHistory[[#This Row],[SOX S]]&gt;=0.83,tblHistory[[#This Row],[AIQ S]]&gt;=0.8),0)</f>
        <v/>
      </c>
      <c r="AA29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6">
      <c r="A296" s="42" t="n">
        <v>45897</v>
      </c>
      <c r="B296" s="43" t="n">
        <v>23703.4492</v>
      </c>
      <c r="C296" s="43" t="n">
        <v>5853.0498</v>
      </c>
      <c r="D296" s="43" t="n">
        <v>45.4902</v>
      </c>
      <c r="E296" s="43" t="n">
        <v>18.8197</v>
      </c>
      <c r="F296" s="44" t="n">
        <v>99</v>
      </c>
      <c r="G296" s="44" t="n">
        <v>783</v>
      </c>
      <c r="H296" s="43" t="n">
        <v>13.8356</v>
      </c>
      <c r="I296" s="43" t="n">
        <v>19.3862</v>
      </c>
      <c r="J296" s="44" t="n">
        <v>275</v>
      </c>
      <c r="K29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6" s="46">
        <f>(Dashboard!$C$13*tblHistory[[#This Row],[NDX S]]+Dashboard!$C$14*tblHistory[[#This Row],[SOX S]]+Dashboard!$C$15*tblHistory[[#This Row],[AIQ S]])/(Dashboard!$C$13+Dashboard!$C$14+Dashboard!$C$15)*100</f>
        <v/>
      </c>
      <c r="U296" s="46">
        <f>(Dashboard!$C$16*tblHistory[[#This Row],[DTCR S]]+Dashboard!$C$17*tblHistory[[#This Row],[BBB S]]+Dashboard!$C$18*tblHistory[[#This Row],[CCC S]])/(Dashboard!$C$16+Dashboard!$C$17+Dashboard!$C$18)*100</f>
        <v/>
      </c>
      <c r="V296" s="46">
        <f>(Dashboard!$C$19*tblHistory[[#This Row],[BIZD S]]+Dashboard!$C$20*tblHistory[[#This Row],[BKLN S]]+Dashboard!$C$21*tblHistory[[#This Row],[HY S]])/(Dashboard!$C$19+Dashboard!$C$20+Dashboard!$C$21)*100</f>
        <v/>
      </c>
      <c r="W29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6" s="46">
        <f>IFERROR(--(tblHistory[[#This Row],[Score]]&gt;=50),0)</f>
        <v/>
      </c>
      <c r="Y296" s="46">
        <f>IFERROR(--AND(tblHistory[[#This Row],[Score]]&gt;=60,OR(AND(tblHistory[[#This Row],[BIZD S]]&gt;=0.8,tblHistory[[#This Row],[BKLN S]]&gt;=0.5),tblHistory[[#This Row],[CCC S]]&gt;=0.8)),0)</f>
        <v/>
      </c>
      <c r="Z296" s="46">
        <f>IFERROR(--AND(tblHistory[[#This Row],[Score]]&gt;=70,tblHistory[[#This Row],[SOX S]]&gt;=0.83,tblHistory[[#This Row],[AIQ S]]&gt;=0.8),0)</f>
        <v/>
      </c>
      <c r="AA29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7">
      <c r="A297" s="42" t="n">
        <v>45896</v>
      </c>
      <c r="B297" s="43" t="n">
        <v>23565.8496</v>
      </c>
      <c r="C297" s="43" t="n">
        <v>5824.6099</v>
      </c>
      <c r="D297" s="43" t="n">
        <v>44.9707</v>
      </c>
      <c r="E297" s="43" t="n">
        <v>18.7504</v>
      </c>
      <c r="F297" s="44" t="n">
        <v>99</v>
      </c>
      <c r="G297" s="44" t="n">
        <v>785</v>
      </c>
      <c r="H297" s="43" t="n">
        <v>13.7925</v>
      </c>
      <c r="I297" s="43" t="n">
        <v>19.3862</v>
      </c>
      <c r="J297" s="44" t="n">
        <v>278</v>
      </c>
      <c r="K29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7" s="46">
        <f>(Dashboard!$C$13*tblHistory[[#This Row],[NDX S]]+Dashboard!$C$14*tblHistory[[#This Row],[SOX S]]+Dashboard!$C$15*tblHistory[[#This Row],[AIQ S]])/(Dashboard!$C$13+Dashboard!$C$14+Dashboard!$C$15)*100</f>
        <v/>
      </c>
      <c r="U297" s="46">
        <f>(Dashboard!$C$16*tblHistory[[#This Row],[DTCR S]]+Dashboard!$C$17*tblHistory[[#This Row],[BBB S]]+Dashboard!$C$18*tblHistory[[#This Row],[CCC S]])/(Dashboard!$C$16+Dashboard!$C$17+Dashboard!$C$18)*100</f>
        <v/>
      </c>
      <c r="V297" s="46">
        <f>(Dashboard!$C$19*tblHistory[[#This Row],[BIZD S]]+Dashboard!$C$20*tblHistory[[#This Row],[BKLN S]]+Dashboard!$C$21*tblHistory[[#This Row],[HY S]])/(Dashboard!$C$19+Dashboard!$C$20+Dashboard!$C$21)*100</f>
        <v/>
      </c>
      <c r="W29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7" s="46">
        <f>IFERROR(--(tblHistory[[#This Row],[Score]]&gt;=50),0)</f>
        <v/>
      </c>
      <c r="Y297" s="46">
        <f>IFERROR(--AND(tblHistory[[#This Row],[Score]]&gt;=60,OR(AND(tblHistory[[#This Row],[BIZD S]]&gt;=0.8,tblHistory[[#This Row],[BKLN S]]&gt;=0.5),tblHistory[[#This Row],[CCC S]]&gt;=0.8)),0)</f>
        <v/>
      </c>
      <c r="Z297" s="46">
        <f>IFERROR(--AND(tblHistory[[#This Row],[Score]]&gt;=70,tblHistory[[#This Row],[SOX S]]&gt;=0.83,tblHistory[[#This Row],[AIQ S]]&gt;=0.8),0)</f>
        <v/>
      </c>
      <c r="AA29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8">
      <c r="A298" s="42" t="n">
        <v>45895</v>
      </c>
      <c r="B298" s="43" t="n">
        <v>23525.2891</v>
      </c>
      <c r="C298" s="43" t="n">
        <v>5807.9199</v>
      </c>
      <c r="D298" s="43" t="n">
        <v>44.9407</v>
      </c>
      <c r="E298" s="43" t="n">
        <v>18.7405</v>
      </c>
      <c r="F298" s="44" t="n">
        <v>98</v>
      </c>
      <c r="G298" s="44" t="n">
        <v>789</v>
      </c>
      <c r="H298" s="43" t="n">
        <v>13.7407</v>
      </c>
      <c r="I298" s="43" t="n">
        <v>19.3862</v>
      </c>
      <c r="J298" s="44" t="n">
        <v>278</v>
      </c>
      <c r="K29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8" s="46">
        <f>(Dashboard!$C$13*tblHistory[[#This Row],[NDX S]]+Dashboard!$C$14*tblHistory[[#This Row],[SOX S]]+Dashboard!$C$15*tblHistory[[#This Row],[AIQ S]])/(Dashboard!$C$13+Dashboard!$C$14+Dashboard!$C$15)*100</f>
        <v/>
      </c>
      <c r="U298" s="46">
        <f>(Dashboard!$C$16*tblHistory[[#This Row],[DTCR S]]+Dashboard!$C$17*tblHistory[[#This Row],[BBB S]]+Dashboard!$C$18*tblHistory[[#This Row],[CCC S]])/(Dashboard!$C$16+Dashboard!$C$17+Dashboard!$C$18)*100</f>
        <v/>
      </c>
      <c r="V298" s="46">
        <f>(Dashboard!$C$19*tblHistory[[#This Row],[BIZD S]]+Dashboard!$C$20*tblHistory[[#This Row],[BKLN S]]+Dashboard!$C$21*tblHistory[[#This Row],[HY S]])/(Dashboard!$C$19+Dashboard!$C$20+Dashboard!$C$21)*100</f>
        <v/>
      </c>
      <c r="W29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8" s="46">
        <f>IFERROR(--(tblHistory[[#This Row],[Score]]&gt;=50),0)</f>
        <v/>
      </c>
      <c r="Y298" s="46">
        <f>IFERROR(--AND(tblHistory[[#This Row],[Score]]&gt;=60,OR(AND(tblHistory[[#This Row],[BIZD S]]&gt;=0.8,tblHistory[[#This Row],[BKLN S]]&gt;=0.5),tblHistory[[#This Row],[CCC S]]&gt;=0.8)),0)</f>
        <v/>
      </c>
      <c r="Z298" s="46">
        <f>IFERROR(--AND(tblHistory[[#This Row],[Score]]&gt;=70,tblHistory[[#This Row],[SOX S]]&gt;=0.83,tblHistory[[#This Row],[AIQ S]]&gt;=0.8),0)</f>
        <v/>
      </c>
      <c r="AA29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299">
      <c r="A299" s="42" t="n">
        <v>45894</v>
      </c>
      <c r="B299" s="43" t="n">
        <v>23425.6094</v>
      </c>
      <c r="C299" s="43" t="n">
        <v>5756.2998</v>
      </c>
      <c r="D299" s="43" t="n">
        <v>44.7309</v>
      </c>
      <c r="E299" s="43" t="n">
        <v>18.7108</v>
      </c>
      <c r="F299" s="44" t="n">
        <v>96</v>
      </c>
      <c r="G299" s="44" t="n">
        <v>809</v>
      </c>
      <c r="H299" s="43" t="n">
        <v>13.6544</v>
      </c>
      <c r="I299" s="43" t="n">
        <v>19.3677</v>
      </c>
      <c r="J299" s="44" t="n">
        <v>280</v>
      </c>
      <c r="K29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29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29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29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29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29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29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29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29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299" s="46">
        <f>(Dashboard!$C$13*tblHistory[[#This Row],[NDX S]]+Dashboard!$C$14*tblHistory[[#This Row],[SOX S]]+Dashboard!$C$15*tblHistory[[#This Row],[AIQ S]])/(Dashboard!$C$13+Dashboard!$C$14+Dashboard!$C$15)*100</f>
        <v/>
      </c>
      <c r="U299" s="46">
        <f>(Dashboard!$C$16*tblHistory[[#This Row],[DTCR S]]+Dashboard!$C$17*tblHistory[[#This Row],[BBB S]]+Dashboard!$C$18*tblHistory[[#This Row],[CCC S]])/(Dashboard!$C$16+Dashboard!$C$17+Dashboard!$C$18)*100</f>
        <v/>
      </c>
      <c r="V299" s="46">
        <f>(Dashboard!$C$19*tblHistory[[#This Row],[BIZD S]]+Dashboard!$C$20*tblHistory[[#This Row],[BKLN S]]+Dashboard!$C$21*tblHistory[[#This Row],[HY S]])/(Dashboard!$C$19+Dashboard!$C$20+Dashboard!$C$21)*100</f>
        <v/>
      </c>
      <c r="W29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299" s="46">
        <f>IFERROR(--(tblHistory[[#This Row],[Score]]&gt;=50),0)</f>
        <v/>
      </c>
      <c r="Y299" s="46">
        <f>IFERROR(--AND(tblHistory[[#This Row],[Score]]&gt;=60,OR(AND(tblHistory[[#This Row],[BIZD S]]&gt;=0.8,tblHistory[[#This Row],[BKLN S]]&gt;=0.5),tblHistory[[#This Row],[CCC S]]&gt;=0.8)),0)</f>
        <v/>
      </c>
      <c r="Z299" s="46">
        <f>IFERROR(--AND(tblHistory[[#This Row],[Score]]&gt;=70,tblHistory[[#This Row],[SOX S]]&gt;=0.83,tblHistory[[#This Row],[AIQ S]]&gt;=0.8),0)</f>
        <v/>
      </c>
      <c r="AA29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29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29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29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29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0">
      <c r="A300" s="42" t="n">
        <v>45891</v>
      </c>
      <c r="B300" s="43" t="n">
        <v>23498.1191</v>
      </c>
      <c r="C300" s="43" t="n">
        <v>5754.46</v>
      </c>
      <c r="D300" s="43" t="n">
        <v>44.9007</v>
      </c>
      <c r="E300" s="43" t="n">
        <v>18.8395</v>
      </c>
      <c r="F300" s="44" t="n">
        <v>97</v>
      </c>
      <c r="G300" s="44" t="n">
        <v>817</v>
      </c>
      <c r="H300" s="43" t="n">
        <v>13.7579</v>
      </c>
      <c r="I300" s="43" t="n">
        <v>19.3677</v>
      </c>
      <c r="J300" s="44" t="n">
        <v>288</v>
      </c>
      <c r="K30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0" s="46">
        <f>(Dashboard!$C$13*tblHistory[[#This Row],[NDX S]]+Dashboard!$C$14*tblHistory[[#This Row],[SOX S]]+Dashboard!$C$15*tblHistory[[#This Row],[AIQ S]])/(Dashboard!$C$13+Dashboard!$C$14+Dashboard!$C$15)*100</f>
        <v/>
      </c>
      <c r="U300" s="46">
        <f>(Dashboard!$C$16*tblHistory[[#This Row],[DTCR S]]+Dashboard!$C$17*tblHistory[[#This Row],[BBB S]]+Dashboard!$C$18*tblHistory[[#This Row],[CCC S]])/(Dashboard!$C$16+Dashboard!$C$17+Dashboard!$C$18)*100</f>
        <v/>
      </c>
      <c r="V300" s="46">
        <f>(Dashboard!$C$19*tblHistory[[#This Row],[BIZD S]]+Dashboard!$C$20*tblHistory[[#This Row],[BKLN S]]+Dashboard!$C$21*tblHistory[[#This Row],[HY S]])/(Dashboard!$C$19+Dashboard!$C$20+Dashboard!$C$21)*100</f>
        <v/>
      </c>
      <c r="W30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0" s="46">
        <f>IFERROR(--(tblHistory[[#This Row],[Score]]&gt;=50),0)</f>
        <v/>
      </c>
      <c r="Y300" s="46">
        <f>IFERROR(--AND(tblHistory[[#This Row],[Score]]&gt;=60,OR(AND(tblHistory[[#This Row],[BIZD S]]&gt;=0.8,tblHistory[[#This Row],[BKLN S]]&gt;=0.5),tblHistory[[#This Row],[CCC S]]&gt;=0.8)),0)</f>
        <v/>
      </c>
      <c r="Z300" s="46">
        <f>IFERROR(--AND(tblHistory[[#This Row],[Score]]&gt;=70,tblHistory[[#This Row],[SOX S]]&gt;=0.83,tblHistory[[#This Row],[AIQ S]]&gt;=0.8),0)</f>
        <v/>
      </c>
      <c r="AA30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1">
      <c r="A301" s="42" t="n">
        <v>45890</v>
      </c>
      <c r="B301" s="43" t="n">
        <v>23142.5801</v>
      </c>
      <c r="C301" s="43" t="n">
        <v>5603.2598</v>
      </c>
      <c r="D301" s="43" t="n">
        <v>43.8417</v>
      </c>
      <c r="E301" s="43" t="n">
        <v>18.4039</v>
      </c>
      <c r="F301" s="44" t="n">
        <v>98</v>
      </c>
      <c r="G301" s="44" t="n">
        <v>826</v>
      </c>
      <c r="H301" s="43" t="n">
        <v>13.6802</v>
      </c>
      <c r="I301" s="43" t="n">
        <v>19.3306</v>
      </c>
      <c r="J301" s="44" t="n">
        <v>295</v>
      </c>
      <c r="K30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1" s="46">
        <f>(Dashboard!$C$13*tblHistory[[#This Row],[NDX S]]+Dashboard!$C$14*tblHistory[[#This Row],[SOX S]]+Dashboard!$C$15*tblHistory[[#This Row],[AIQ S]])/(Dashboard!$C$13+Dashboard!$C$14+Dashboard!$C$15)*100</f>
        <v/>
      </c>
      <c r="U301" s="46">
        <f>(Dashboard!$C$16*tblHistory[[#This Row],[DTCR S]]+Dashboard!$C$17*tblHistory[[#This Row],[BBB S]]+Dashboard!$C$18*tblHistory[[#This Row],[CCC S]])/(Dashboard!$C$16+Dashboard!$C$17+Dashboard!$C$18)*100</f>
        <v/>
      </c>
      <c r="V301" s="46">
        <f>(Dashboard!$C$19*tblHistory[[#This Row],[BIZD S]]+Dashboard!$C$20*tblHistory[[#This Row],[BKLN S]]+Dashboard!$C$21*tblHistory[[#This Row],[HY S]])/(Dashboard!$C$19+Dashboard!$C$20+Dashboard!$C$21)*100</f>
        <v/>
      </c>
      <c r="W30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1" s="46">
        <f>IFERROR(--(tblHistory[[#This Row],[Score]]&gt;=50),0)</f>
        <v/>
      </c>
      <c r="Y301" s="46">
        <f>IFERROR(--AND(tblHistory[[#This Row],[Score]]&gt;=60,OR(AND(tblHistory[[#This Row],[BIZD S]]&gt;=0.8,tblHistory[[#This Row],[BKLN S]]&gt;=0.5),tblHistory[[#This Row],[CCC S]]&gt;=0.8)),0)</f>
        <v/>
      </c>
      <c r="Z301" s="46">
        <f>IFERROR(--AND(tblHistory[[#This Row],[Score]]&gt;=70,tblHistory[[#This Row],[SOX S]]&gt;=0.83,tblHistory[[#This Row],[AIQ S]]&gt;=0.8),0)</f>
        <v/>
      </c>
      <c r="AA30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2">
      <c r="A302" s="42" t="n">
        <v>45889</v>
      </c>
      <c r="B302" s="43" t="n">
        <v>23249.5703</v>
      </c>
      <c r="C302" s="43" t="n">
        <v>5630.8198</v>
      </c>
      <c r="D302" s="43" t="n">
        <v>44.1014</v>
      </c>
      <c r="E302" s="43" t="n">
        <v>18.5425</v>
      </c>
      <c r="F302" s="44" t="n">
        <v>98</v>
      </c>
      <c r="G302" s="44" t="n">
        <v>824</v>
      </c>
      <c r="H302" s="43" t="n">
        <v>13.7579</v>
      </c>
      <c r="I302" s="43" t="n">
        <v>19.3398</v>
      </c>
      <c r="J302" s="44" t="n">
        <v>294</v>
      </c>
      <c r="K30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2" s="46">
        <f>(Dashboard!$C$13*tblHistory[[#This Row],[NDX S]]+Dashboard!$C$14*tblHistory[[#This Row],[SOX S]]+Dashboard!$C$15*tblHistory[[#This Row],[AIQ S]])/(Dashboard!$C$13+Dashboard!$C$14+Dashboard!$C$15)*100</f>
        <v/>
      </c>
      <c r="U302" s="46">
        <f>(Dashboard!$C$16*tblHistory[[#This Row],[DTCR S]]+Dashboard!$C$17*tblHistory[[#This Row],[BBB S]]+Dashboard!$C$18*tblHistory[[#This Row],[CCC S]])/(Dashboard!$C$16+Dashboard!$C$17+Dashboard!$C$18)*100</f>
        <v/>
      </c>
      <c r="V302" s="46">
        <f>(Dashboard!$C$19*tblHistory[[#This Row],[BIZD S]]+Dashboard!$C$20*tblHistory[[#This Row],[BKLN S]]+Dashboard!$C$21*tblHistory[[#This Row],[HY S]])/(Dashboard!$C$19+Dashboard!$C$20+Dashboard!$C$21)*100</f>
        <v/>
      </c>
      <c r="W30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2" s="46">
        <f>IFERROR(--(tblHistory[[#This Row],[Score]]&gt;=50),0)</f>
        <v/>
      </c>
      <c r="Y302" s="46">
        <f>IFERROR(--AND(tblHistory[[#This Row],[Score]]&gt;=60,OR(AND(tblHistory[[#This Row],[BIZD S]]&gt;=0.8,tblHistory[[#This Row],[BKLN S]]&gt;=0.5),tblHistory[[#This Row],[CCC S]]&gt;=0.8)),0)</f>
        <v/>
      </c>
      <c r="Z302" s="46">
        <f>IFERROR(--AND(tblHistory[[#This Row],[Score]]&gt;=70,tblHistory[[#This Row],[SOX S]]&gt;=0.83,tblHistory[[#This Row],[AIQ S]]&gt;=0.8),0)</f>
        <v/>
      </c>
      <c r="AA30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3">
      <c r="A303" s="42" t="n">
        <v>45888</v>
      </c>
      <c r="B303" s="43" t="n">
        <v>23384.7695</v>
      </c>
      <c r="C303" s="43" t="n">
        <v>5671.5098</v>
      </c>
      <c r="D303" s="43" t="n">
        <v>44.4511</v>
      </c>
      <c r="E303" s="43" t="n">
        <v>18.5128</v>
      </c>
      <c r="F303" s="44" t="n">
        <v>97</v>
      </c>
      <c r="G303" s="44" t="n">
        <v>817</v>
      </c>
      <c r="H303" s="43" t="n">
        <v>13.7579</v>
      </c>
      <c r="I303" s="43" t="n">
        <v>19.3398</v>
      </c>
      <c r="J303" s="44" t="n">
        <v>290</v>
      </c>
      <c r="K30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3" s="46">
        <f>(Dashboard!$C$13*tblHistory[[#This Row],[NDX S]]+Dashboard!$C$14*tblHistory[[#This Row],[SOX S]]+Dashboard!$C$15*tblHistory[[#This Row],[AIQ S]])/(Dashboard!$C$13+Dashboard!$C$14+Dashboard!$C$15)*100</f>
        <v/>
      </c>
      <c r="U303" s="46">
        <f>(Dashboard!$C$16*tblHistory[[#This Row],[DTCR S]]+Dashboard!$C$17*tblHistory[[#This Row],[BBB S]]+Dashboard!$C$18*tblHistory[[#This Row],[CCC S]])/(Dashboard!$C$16+Dashboard!$C$17+Dashboard!$C$18)*100</f>
        <v/>
      </c>
      <c r="V303" s="46">
        <f>(Dashboard!$C$19*tblHistory[[#This Row],[BIZD S]]+Dashboard!$C$20*tblHistory[[#This Row],[BKLN S]]+Dashboard!$C$21*tblHistory[[#This Row],[HY S]])/(Dashboard!$C$19+Dashboard!$C$20+Dashboard!$C$21)*100</f>
        <v/>
      </c>
      <c r="W30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3" s="46">
        <f>IFERROR(--(tblHistory[[#This Row],[Score]]&gt;=50),0)</f>
        <v/>
      </c>
      <c r="Y303" s="46">
        <f>IFERROR(--AND(tblHistory[[#This Row],[Score]]&gt;=60,OR(AND(tblHistory[[#This Row],[BIZD S]]&gt;=0.8,tblHistory[[#This Row],[BKLN S]]&gt;=0.5),tblHistory[[#This Row],[CCC S]]&gt;=0.8)),0)</f>
        <v/>
      </c>
      <c r="Z303" s="46">
        <f>IFERROR(--AND(tblHistory[[#This Row],[Score]]&gt;=70,tblHistory[[#This Row],[SOX S]]&gt;=0.83,tblHistory[[#This Row],[AIQ S]]&gt;=0.8),0)</f>
        <v/>
      </c>
      <c r="AA30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4">
      <c r="A304" s="42" t="n">
        <v>45887</v>
      </c>
      <c r="B304" s="43" t="n">
        <v>23713.7598</v>
      </c>
      <c r="C304" s="43" t="n">
        <v>5776.3101</v>
      </c>
      <c r="D304" s="43" t="n">
        <v>45.2604</v>
      </c>
      <c r="E304" s="43" t="n">
        <v>18.592</v>
      </c>
      <c r="F304" s="44" t="n">
        <v>96</v>
      </c>
      <c r="G304" s="44" t="n">
        <v>816</v>
      </c>
      <c r="H304" s="43" t="n">
        <v>13.7493</v>
      </c>
      <c r="I304" s="43" t="n">
        <v>19.3306</v>
      </c>
      <c r="J304" s="44" t="n">
        <v>288</v>
      </c>
      <c r="K30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4" s="46">
        <f>(Dashboard!$C$13*tblHistory[[#This Row],[NDX S]]+Dashboard!$C$14*tblHistory[[#This Row],[SOX S]]+Dashboard!$C$15*tblHistory[[#This Row],[AIQ S]])/(Dashboard!$C$13+Dashboard!$C$14+Dashboard!$C$15)*100</f>
        <v/>
      </c>
      <c r="U304" s="46">
        <f>(Dashboard!$C$16*tblHistory[[#This Row],[DTCR S]]+Dashboard!$C$17*tblHistory[[#This Row],[BBB S]]+Dashboard!$C$18*tblHistory[[#This Row],[CCC S]])/(Dashboard!$C$16+Dashboard!$C$17+Dashboard!$C$18)*100</f>
        <v/>
      </c>
      <c r="V304" s="46">
        <f>(Dashboard!$C$19*tblHistory[[#This Row],[BIZD S]]+Dashboard!$C$20*tblHistory[[#This Row],[BKLN S]]+Dashboard!$C$21*tblHistory[[#This Row],[HY S]])/(Dashboard!$C$19+Dashboard!$C$20+Dashboard!$C$21)*100</f>
        <v/>
      </c>
      <c r="W30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4" s="46">
        <f>IFERROR(--(tblHistory[[#This Row],[Score]]&gt;=50),0)</f>
        <v/>
      </c>
      <c r="Y304" s="46">
        <f>IFERROR(--AND(tblHistory[[#This Row],[Score]]&gt;=60,OR(AND(tblHistory[[#This Row],[BIZD S]]&gt;=0.8,tblHistory[[#This Row],[BKLN S]]&gt;=0.5),tblHistory[[#This Row],[CCC S]]&gt;=0.8)),0)</f>
        <v/>
      </c>
      <c r="Z304" s="46">
        <f>IFERROR(--AND(tblHistory[[#This Row],[Score]]&gt;=70,tblHistory[[#This Row],[SOX S]]&gt;=0.83,tblHistory[[#This Row],[AIQ S]]&gt;=0.8),0)</f>
        <v/>
      </c>
      <c r="AA30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5">
      <c r="A305" s="42" t="n">
        <v>45884</v>
      </c>
      <c r="B305" s="43" t="n">
        <v>23712.0703</v>
      </c>
      <c r="C305" s="43" t="n">
        <v>5752.7402</v>
      </c>
      <c r="D305" s="43" t="n">
        <v>45.1805</v>
      </c>
      <c r="E305" s="43" t="n">
        <v>18.5425</v>
      </c>
      <c r="F305" s="44" t="n">
        <v>96</v>
      </c>
      <c r="G305" s="44" t="n">
        <v>812</v>
      </c>
      <c r="H305" s="43" t="n">
        <v>13.7234</v>
      </c>
      <c r="I305" s="43" t="n">
        <v>19.3185</v>
      </c>
      <c r="J305" s="44" t="n">
        <v>288</v>
      </c>
      <c r="K30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5" s="46">
        <f>(Dashboard!$C$13*tblHistory[[#This Row],[NDX S]]+Dashboard!$C$14*tblHistory[[#This Row],[SOX S]]+Dashboard!$C$15*tblHistory[[#This Row],[AIQ S]])/(Dashboard!$C$13+Dashboard!$C$14+Dashboard!$C$15)*100</f>
        <v/>
      </c>
      <c r="U305" s="46">
        <f>(Dashboard!$C$16*tblHistory[[#This Row],[DTCR S]]+Dashboard!$C$17*tblHistory[[#This Row],[BBB S]]+Dashboard!$C$18*tblHistory[[#This Row],[CCC S]])/(Dashboard!$C$16+Dashboard!$C$17+Dashboard!$C$18)*100</f>
        <v/>
      </c>
      <c r="V305" s="46">
        <f>(Dashboard!$C$19*tblHistory[[#This Row],[BIZD S]]+Dashboard!$C$20*tblHistory[[#This Row],[BKLN S]]+Dashboard!$C$21*tblHistory[[#This Row],[HY S]])/(Dashboard!$C$19+Dashboard!$C$20+Dashboard!$C$21)*100</f>
        <v/>
      </c>
      <c r="W30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5" s="46">
        <f>IFERROR(--(tblHistory[[#This Row],[Score]]&gt;=50),0)</f>
        <v/>
      </c>
      <c r="Y305" s="46">
        <f>IFERROR(--AND(tblHistory[[#This Row],[Score]]&gt;=60,OR(AND(tblHistory[[#This Row],[BIZD S]]&gt;=0.8,tblHistory[[#This Row],[BKLN S]]&gt;=0.5),tblHistory[[#This Row],[CCC S]]&gt;=0.8)),0)</f>
        <v/>
      </c>
      <c r="Z305" s="46">
        <f>IFERROR(--AND(tblHistory[[#This Row],[Score]]&gt;=70,tblHistory[[#This Row],[SOX S]]&gt;=0.83,tblHistory[[#This Row],[AIQ S]]&gt;=0.8),0)</f>
        <v/>
      </c>
      <c r="AA30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6">
      <c r="A306" s="42" t="n">
        <v>45883</v>
      </c>
      <c r="B306" s="43" t="n">
        <v>23832.4395</v>
      </c>
      <c r="C306" s="43" t="n">
        <v>5885.4902</v>
      </c>
      <c r="D306" s="43" t="n">
        <v>45.1905</v>
      </c>
      <c r="E306" s="43" t="n">
        <v>18.5623</v>
      </c>
      <c r="F306" s="44" t="n">
        <v>97</v>
      </c>
      <c r="G306" s="44" t="n">
        <v>811</v>
      </c>
      <c r="H306" s="43" t="n">
        <v>13.8874</v>
      </c>
      <c r="I306" s="43" t="n">
        <v>19.3277</v>
      </c>
      <c r="J306" s="44" t="n">
        <v>289</v>
      </c>
      <c r="K30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6" s="46">
        <f>(Dashboard!$C$13*tblHistory[[#This Row],[NDX S]]+Dashboard!$C$14*tblHistory[[#This Row],[SOX S]]+Dashboard!$C$15*tblHistory[[#This Row],[AIQ S]])/(Dashboard!$C$13+Dashboard!$C$14+Dashboard!$C$15)*100</f>
        <v/>
      </c>
      <c r="U306" s="46">
        <f>(Dashboard!$C$16*tblHistory[[#This Row],[DTCR S]]+Dashboard!$C$17*tblHistory[[#This Row],[BBB S]]+Dashboard!$C$18*tblHistory[[#This Row],[CCC S]])/(Dashboard!$C$16+Dashboard!$C$17+Dashboard!$C$18)*100</f>
        <v/>
      </c>
      <c r="V306" s="46">
        <f>(Dashboard!$C$19*tblHistory[[#This Row],[BIZD S]]+Dashboard!$C$20*tblHistory[[#This Row],[BKLN S]]+Dashboard!$C$21*tblHistory[[#This Row],[HY S]])/(Dashboard!$C$19+Dashboard!$C$20+Dashboard!$C$21)*100</f>
        <v/>
      </c>
      <c r="W30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6" s="46">
        <f>IFERROR(--(tblHistory[[#This Row],[Score]]&gt;=50),0)</f>
        <v/>
      </c>
      <c r="Y306" s="46">
        <f>IFERROR(--AND(tblHistory[[#This Row],[Score]]&gt;=60,OR(AND(tblHistory[[#This Row],[BIZD S]]&gt;=0.8,tblHistory[[#This Row],[BKLN S]]&gt;=0.5),tblHistory[[#This Row],[CCC S]]&gt;=0.8)),0)</f>
        <v/>
      </c>
      <c r="Z306" s="46">
        <f>IFERROR(--AND(tblHistory[[#This Row],[Score]]&gt;=70,tblHistory[[#This Row],[SOX S]]&gt;=0.83,tblHistory[[#This Row],[AIQ S]]&gt;=0.8),0)</f>
        <v/>
      </c>
      <c r="AA30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7">
      <c r="A307" s="42" t="n">
        <v>45882</v>
      </c>
      <c r="B307" s="43" t="n">
        <v>23849.0391</v>
      </c>
      <c r="C307" s="43" t="n">
        <v>5892.6099</v>
      </c>
      <c r="D307" s="43" t="n">
        <v>45.5502</v>
      </c>
      <c r="E307" s="43" t="n">
        <v>18.7603</v>
      </c>
      <c r="F307" s="44" t="n">
        <v>98</v>
      </c>
      <c r="G307" s="44" t="n">
        <v>816</v>
      </c>
      <c r="H307" s="43" t="n">
        <v>13.9392</v>
      </c>
      <c r="I307" s="43" t="n">
        <v>19.337</v>
      </c>
      <c r="J307" s="44" t="n">
        <v>290</v>
      </c>
      <c r="K30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7" s="46">
        <f>(Dashboard!$C$13*tblHistory[[#This Row],[NDX S]]+Dashboard!$C$14*tblHistory[[#This Row],[SOX S]]+Dashboard!$C$15*tblHistory[[#This Row],[AIQ S]])/(Dashboard!$C$13+Dashboard!$C$14+Dashboard!$C$15)*100</f>
        <v/>
      </c>
      <c r="U307" s="46">
        <f>(Dashboard!$C$16*tblHistory[[#This Row],[DTCR S]]+Dashboard!$C$17*tblHistory[[#This Row],[BBB S]]+Dashboard!$C$18*tblHistory[[#This Row],[CCC S]])/(Dashboard!$C$16+Dashboard!$C$17+Dashboard!$C$18)*100</f>
        <v/>
      </c>
      <c r="V307" s="46">
        <f>(Dashboard!$C$19*tblHistory[[#This Row],[BIZD S]]+Dashboard!$C$20*tblHistory[[#This Row],[BKLN S]]+Dashboard!$C$21*tblHistory[[#This Row],[HY S]])/(Dashboard!$C$19+Dashboard!$C$20+Dashboard!$C$21)*100</f>
        <v/>
      </c>
      <c r="W30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7" s="46">
        <f>IFERROR(--(tblHistory[[#This Row],[Score]]&gt;=50),0)</f>
        <v/>
      </c>
      <c r="Y307" s="46">
        <f>IFERROR(--AND(tblHistory[[#This Row],[Score]]&gt;=60,OR(AND(tblHistory[[#This Row],[BIZD S]]&gt;=0.8,tblHistory[[#This Row],[BKLN S]]&gt;=0.5),tblHistory[[#This Row],[CCC S]]&gt;=0.8)),0)</f>
        <v/>
      </c>
      <c r="Z307" s="46">
        <f>IFERROR(--AND(tblHistory[[#This Row],[Score]]&gt;=70,tblHistory[[#This Row],[SOX S]]&gt;=0.83,tblHistory[[#This Row],[AIQ S]]&gt;=0.8),0)</f>
        <v/>
      </c>
      <c r="AA30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8">
      <c r="A308" s="42" t="n">
        <v>45881</v>
      </c>
      <c r="B308" s="43" t="n">
        <v>23839.1992</v>
      </c>
      <c r="C308" s="43" t="n">
        <v>5840.0898</v>
      </c>
      <c r="D308" s="43" t="n">
        <v>45.3004</v>
      </c>
      <c r="E308" s="43" t="n">
        <v>18.8098</v>
      </c>
      <c r="F308" s="44" t="n">
        <v>100</v>
      </c>
      <c r="G308" s="44" t="n">
        <v>827</v>
      </c>
      <c r="H308" s="43" t="n">
        <v>13.8097</v>
      </c>
      <c r="I308" s="43" t="n">
        <v>19.3277</v>
      </c>
      <c r="J308" s="44" t="n">
        <v>293</v>
      </c>
      <c r="K30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8" s="46">
        <f>(Dashboard!$C$13*tblHistory[[#This Row],[NDX S]]+Dashboard!$C$14*tblHistory[[#This Row],[SOX S]]+Dashboard!$C$15*tblHistory[[#This Row],[AIQ S]])/(Dashboard!$C$13+Dashboard!$C$14+Dashboard!$C$15)*100</f>
        <v/>
      </c>
      <c r="U308" s="46">
        <f>(Dashboard!$C$16*tblHistory[[#This Row],[DTCR S]]+Dashboard!$C$17*tblHistory[[#This Row],[BBB S]]+Dashboard!$C$18*tblHistory[[#This Row],[CCC S]])/(Dashboard!$C$16+Dashboard!$C$17+Dashboard!$C$18)*100</f>
        <v/>
      </c>
      <c r="V308" s="46">
        <f>(Dashboard!$C$19*tblHistory[[#This Row],[BIZD S]]+Dashboard!$C$20*tblHistory[[#This Row],[BKLN S]]+Dashboard!$C$21*tblHistory[[#This Row],[HY S]])/(Dashboard!$C$19+Dashboard!$C$20+Dashboard!$C$21)*100</f>
        <v/>
      </c>
      <c r="W30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8" s="46">
        <f>IFERROR(--(tblHistory[[#This Row],[Score]]&gt;=50),0)</f>
        <v/>
      </c>
      <c r="Y308" s="46">
        <f>IFERROR(--AND(tblHistory[[#This Row],[Score]]&gt;=60,OR(AND(tblHistory[[#This Row],[BIZD S]]&gt;=0.8,tblHistory[[#This Row],[BKLN S]]&gt;=0.5),tblHistory[[#This Row],[CCC S]]&gt;=0.8)),0)</f>
        <v/>
      </c>
      <c r="Z308" s="46">
        <f>IFERROR(--AND(tblHistory[[#This Row],[Score]]&gt;=70,tblHistory[[#This Row],[SOX S]]&gt;=0.83,tblHistory[[#This Row],[AIQ S]]&gt;=0.8),0)</f>
        <v/>
      </c>
      <c r="AA30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09">
      <c r="A309" s="42" t="n">
        <v>45880</v>
      </c>
      <c r="B309" s="43" t="n">
        <v>23526.6309</v>
      </c>
      <c r="C309" s="43" t="n">
        <v>5670.3701</v>
      </c>
      <c r="D309" s="43" t="n">
        <v>44.6409</v>
      </c>
      <c r="E309" s="43" t="n">
        <v>18.6316</v>
      </c>
      <c r="F309" s="44" t="n">
        <v>101</v>
      </c>
      <c r="G309" s="44" t="n">
        <v>835</v>
      </c>
      <c r="H309" s="43" t="n">
        <v>13.7579</v>
      </c>
      <c r="I309" s="43" t="n">
        <v>19.3093</v>
      </c>
      <c r="J309" s="44" t="n">
        <v>294</v>
      </c>
      <c r="K30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0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0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0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0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0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0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0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0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09" s="46">
        <f>(Dashboard!$C$13*tblHistory[[#This Row],[NDX S]]+Dashboard!$C$14*tblHistory[[#This Row],[SOX S]]+Dashboard!$C$15*tblHistory[[#This Row],[AIQ S]])/(Dashboard!$C$13+Dashboard!$C$14+Dashboard!$C$15)*100</f>
        <v/>
      </c>
      <c r="U309" s="46">
        <f>(Dashboard!$C$16*tblHistory[[#This Row],[DTCR S]]+Dashboard!$C$17*tblHistory[[#This Row],[BBB S]]+Dashboard!$C$18*tblHistory[[#This Row],[CCC S]])/(Dashboard!$C$16+Dashboard!$C$17+Dashboard!$C$18)*100</f>
        <v/>
      </c>
      <c r="V309" s="46">
        <f>(Dashboard!$C$19*tblHistory[[#This Row],[BIZD S]]+Dashboard!$C$20*tblHistory[[#This Row],[BKLN S]]+Dashboard!$C$21*tblHistory[[#This Row],[HY S]])/(Dashboard!$C$19+Dashboard!$C$20+Dashboard!$C$21)*100</f>
        <v/>
      </c>
      <c r="W30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09" s="46">
        <f>IFERROR(--(tblHistory[[#This Row],[Score]]&gt;=50),0)</f>
        <v/>
      </c>
      <c r="Y309" s="46">
        <f>IFERROR(--AND(tblHistory[[#This Row],[Score]]&gt;=60,OR(AND(tblHistory[[#This Row],[BIZD S]]&gt;=0.8,tblHistory[[#This Row],[BKLN S]]&gt;=0.5),tblHistory[[#This Row],[CCC S]]&gt;=0.8)),0)</f>
        <v/>
      </c>
      <c r="Z309" s="46">
        <f>IFERROR(--AND(tblHistory[[#This Row],[Score]]&gt;=70,tblHistory[[#This Row],[SOX S]]&gt;=0.83,tblHistory[[#This Row],[AIQ S]]&gt;=0.8),0)</f>
        <v/>
      </c>
      <c r="AA30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0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0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0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0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0">
      <c r="A310" s="42" t="n">
        <v>45877</v>
      </c>
      <c r="B310" s="43" t="n">
        <v>23611.2695</v>
      </c>
      <c r="C310" s="43" t="n">
        <v>5678.02</v>
      </c>
      <c r="D310" s="43" t="n">
        <v>44.8708</v>
      </c>
      <c r="E310" s="43" t="n">
        <v>18.6019</v>
      </c>
      <c r="F310" s="44" t="n">
        <v>101</v>
      </c>
      <c r="G310" s="44" t="n">
        <v>829</v>
      </c>
      <c r="H310" s="43" t="n">
        <v>13.7752</v>
      </c>
      <c r="I310" s="43" t="n">
        <v>19.3185</v>
      </c>
      <c r="J310" s="44" t="n">
        <v>294</v>
      </c>
      <c r="K31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0" s="46">
        <f>(Dashboard!$C$13*tblHistory[[#This Row],[NDX S]]+Dashboard!$C$14*tblHistory[[#This Row],[SOX S]]+Dashboard!$C$15*tblHistory[[#This Row],[AIQ S]])/(Dashboard!$C$13+Dashboard!$C$14+Dashboard!$C$15)*100</f>
        <v/>
      </c>
      <c r="U310" s="46">
        <f>(Dashboard!$C$16*tblHistory[[#This Row],[DTCR S]]+Dashboard!$C$17*tblHistory[[#This Row],[BBB S]]+Dashboard!$C$18*tblHistory[[#This Row],[CCC S]])/(Dashboard!$C$16+Dashboard!$C$17+Dashboard!$C$18)*100</f>
        <v/>
      </c>
      <c r="V310" s="46">
        <f>(Dashboard!$C$19*tblHistory[[#This Row],[BIZD S]]+Dashboard!$C$20*tblHistory[[#This Row],[BKLN S]]+Dashboard!$C$21*tblHistory[[#This Row],[HY S]])/(Dashboard!$C$19+Dashboard!$C$20+Dashboard!$C$21)*100</f>
        <v/>
      </c>
      <c r="W31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0" s="46">
        <f>IFERROR(--(tblHistory[[#This Row],[Score]]&gt;=50),0)</f>
        <v/>
      </c>
      <c r="Y310" s="46">
        <f>IFERROR(--AND(tblHistory[[#This Row],[Score]]&gt;=60,OR(AND(tblHistory[[#This Row],[BIZD S]]&gt;=0.8,tblHistory[[#This Row],[BKLN S]]&gt;=0.5),tblHistory[[#This Row],[CCC S]]&gt;=0.8)),0)</f>
        <v/>
      </c>
      <c r="Z310" s="46">
        <f>IFERROR(--AND(tblHistory[[#This Row],[Score]]&gt;=70,tblHistory[[#This Row],[SOX S]]&gt;=0.83,tblHistory[[#This Row],[AIQ S]]&gt;=0.8),0)</f>
        <v/>
      </c>
      <c r="AA31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1">
      <c r="A311" s="42" t="n">
        <v>45876</v>
      </c>
      <c r="B311" s="43" t="n">
        <v>23389.5293</v>
      </c>
      <c r="C311" s="43" t="n">
        <v>5633.7002</v>
      </c>
      <c r="D311" s="43" t="n">
        <v>44.6709</v>
      </c>
      <c r="E311" s="43" t="n">
        <v>18.7306</v>
      </c>
      <c r="F311" s="44" t="n">
        <v>101</v>
      </c>
      <c r="G311" s="44" t="n">
        <v>835</v>
      </c>
      <c r="H311" s="43" t="n">
        <v>13.6802</v>
      </c>
      <c r="I311" s="43" t="n">
        <v>19.3277</v>
      </c>
      <c r="J311" s="44" t="n">
        <v>295</v>
      </c>
      <c r="K31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1" s="46">
        <f>(Dashboard!$C$13*tblHistory[[#This Row],[NDX S]]+Dashboard!$C$14*tblHistory[[#This Row],[SOX S]]+Dashboard!$C$15*tblHistory[[#This Row],[AIQ S]])/(Dashboard!$C$13+Dashboard!$C$14+Dashboard!$C$15)*100</f>
        <v/>
      </c>
      <c r="U311" s="46">
        <f>(Dashboard!$C$16*tblHistory[[#This Row],[DTCR S]]+Dashboard!$C$17*tblHistory[[#This Row],[BBB S]]+Dashboard!$C$18*tblHistory[[#This Row],[CCC S]])/(Dashboard!$C$16+Dashboard!$C$17+Dashboard!$C$18)*100</f>
        <v/>
      </c>
      <c r="V311" s="46">
        <f>(Dashboard!$C$19*tblHistory[[#This Row],[BIZD S]]+Dashboard!$C$20*tblHistory[[#This Row],[BKLN S]]+Dashboard!$C$21*tblHistory[[#This Row],[HY S]])/(Dashboard!$C$19+Dashboard!$C$20+Dashboard!$C$21)*100</f>
        <v/>
      </c>
      <c r="W31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1" s="46">
        <f>IFERROR(--(tblHistory[[#This Row],[Score]]&gt;=50),0)</f>
        <v/>
      </c>
      <c r="Y311" s="46">
        <f>IFERROR(--AND(tblHistory[[#This Row],[Score]]&gt;=60,OR(AND(tblHistory[[#This Row],[BIZD S]]&gt;=0.8,tblHistory[[#This Row],[BKLN S]]&gt;=0.5),tblHistory[[#This Row],[CCC S]]&gt;=0.8)),0)</f>
        <v/>
      </c>
      <c r="Z311" s="46">
        <f>IFERROR(--AND(tblHistory[[#This Row],[Score]]&gt;=70,tblHistory[[#This Row],[SOX S]]&gt;=0.83,tblHistory[[#This Row],[AIQ S]]&gt;=0.8),0)</f>
        <v/>
      </c>
      <c r="AA31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2">
      <c r="A312" s="42" t="n">
        <v>45875</v>
      </c>
      <c r="B312" s="43" t="n">
        <v>23315.0391</v>
      </c>
      <c r="C312" s="43" t="n">
        <v>5550.2998</v>
      </c>
      <c r="D312" s="43" t="n">
        <v>44.601</v>
      </c>
      <c r="E312" s="43" t="n">
        <v>18.6316</v>
      </c>
      <c r="F312" s="44" t="n">
        <v>102</v>
      </c>
      <c r="G312" s="44" t="n">
        <v>839</v>
      </c>
      <c r="H312" s="43" t="n">
        <v>13.7752</v>
      </c>
      <c r="I312" s="43" t="n">
        <v>19.3185</v>
      </c>
      <c r="J312" s="44" t="n">
        <v>298</v>
      </c>
      <c r="K31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2" s="46">
        <f>(Dashboard!$C$13*tblHistory[[#This Row],[NDX S]]+Dashboard!$C$14*tblHistory[[#This Row],[SOX S]]+Dashboard!$C$15*tblHistory[[#This Row],[AIQ S]])/(Dashboard!$C$13+Dashboard!$C$14+Dashboard!$C$15)*100</f>
        <v/>
      </c>
      <c r="U312" s="46">
        <f>(Dashboard!$C$16*tblHistory[[#This Row],[DTCR S]]+Dashboard!$C$17*tblHistory[[#This Row],[BBB S]]+Dashboard!$C$18*tblHistory[[#This Row],[CCC S]])/(Dashboard!$C$16+Dashboard!$C$17+Dashboard!$C$18)*100</f>
        <v/>
      </c>
      <c r="V312" s="46">
        <f>(Dashboard!$C$19*tblHistory[[#This Row],[BIZD S]]+Dashboard!$C$20*tblHistory[[#This Row],[BKLN S]]+Dashboard!$C$21*tblHistory[[#This Row],[HY S]])/(Dashboard!$C$19+Dashboard!$C$20+Dashboard!$C$21)*100</f>
        <v/>
      </c>
      <c r="W31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2" s="46">
        <f>IFERROR(--(tblHistory[[#This Row],[Score]]&gt;=50),0)</f>
        <v/>
      </c>
      <c r="Y312" s="46">
        <f>IFERROR(--AND(tblHistory[[#This Row],[Score]]&gt;=60,OR(AND(tblHistory[[#This Row],[BIZD S]]&gt;=0.8,tblHistory[[#This Row],[BKLN S]]&gt;=0.5),tblHistory[[#This Row],[CCC S]]&gt;=0.8)),0)</f>
        <v/>
      </c>
      <c r="Z312" s="46">
        <f>IFERROR(--AND(tblHistory[[#This Row],[Score]]&gt;=70,tblHistory[[#This Row],[SOX S]]&gt;=0.83,tblHistory[[#This Row],[AIQ S]]&gt;=0.8),0)</f>
        <v/>
      </c>
      <c r="AA31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3">
      <c r="A313" s="42" t="n">
        <v>45874</v>
      </c>
      <c r="B313" s="43" t="n">
        <v>23018.5605</v>
      </c>
      <c r="C313" s="43" t="n">
        <v>5561.6899</v>
      </c>
      <c r="D313" s="43" t="n">
        <v>44.1314</v>
      </c>
      <c r="E313" s="43" t="n">
        <v>18.79</v>
      </c>
      <c r="F313" s="44" t="n">
        <v>103</v>
      </c>
      <c r="G313" s="44" t="n">
        <v>844</v>
      </c>
      <c r="H313" s="43" t="n">
        <v>13.8356</v>
      </c>
      <c r="I313" s="43" t="n">
        <v>19.2908</v>
      </c>
      <c r="J313" s="44" t="n">
        <v>298</v>
      </c>
      <c r="K31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3" s="46">
        <f>(Dashboard!$C$13*tblHistory[[#This Row],[NDX S]]+Dashboard!$C$14*tblHistory[[#This Row],[SOX S]]+Dashboard!$C$15*tblHistory[[#This Row],[AIQ S]])/(Dashboard!$C$13+Dashboard!$C$14+Dashboard!$C$15)*100</f>
        <v/>
      </c>
      <c r="U313" s="46">
        <f>(Dashboard!$C$16*tblHistory[[#This Row],[DTCR S]]+Dashboard!$C$17*tblHistory[[#This Row],[BBB S]]+Dashboard!$C$18*tblHistory[[#This Row],[CCC S]])/(Dashboard!$C$16+Dashboard!$C$17+Dashboard!$C$18)*100</f>
        <v/>
      </c>
      <c r="V313" s="46">
        <f>(Dashboard!$C$19*tblHistory[[#This Row],[BIZD S]]+Dashboard!$C$20*tblHistory[[#This Row],[BKLN S]]+Dashboard!$C$21*tblHistory[[#This Row],[HY S]])/(Dashboard!$C$19+Dashboard!$C$20+Dashboard!$C$21)*100</f>
        <v/>
      </c>
      <c r="W31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3" s="46">
        <f>IFERROR(--(tblHistory[[#This Row],[Score]]&gt;=50),0)</f>
        <v/>
      </c>
      <c r="Y313" s="46">
        <f>IFERROR(--AND(tblHistory[[#This Row],[Score]]&gt;=60,OR(AND(tblHistory[[#This Row],[BIZD S]]&gt;=0.8,tblHistory[[#This Row],[BKLN S]]&gt;=0.5),tblHistory[[#This Row],[CCC S]]&gt;=0.8)),0)</f>
        <v/>
      </c>
      <c r="Z313" s="46">
        <f>IFERROR(--AND(tblHistory[[#This Row],[Score]]&gt;=70,tblHistory[[#This Row],[SOX S]]&gt;=0.83,tblHistory[[#This Row],[AIQ S]]&gt;=0.8),0)</f>
        <v/>
      </c>
      <c r="AA31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4">
      <c r="A314" s="42" t="n">
        <v>45873</v>
      </c>
      <c r="B314" s="43" t="n">
        <v>23188.6094</v>
      </c>
      <c r="C314" s="43" t="n">
        <v>5624.4102</v>
      </c>
      <c r="D314" s="43" t="n">
        <v>44.2913</v>
      </c>
      <c r="E314" s="43" t="n">
        <v>18.8593</v>
      </c>
      <c r="F314" s="44" t="n">
        <v>104</v>
      </c>
      <c r="G314" s="44" t="n">
        <v>847</v>
      </c>
      <c r="H314" s="43" t="n">
        <v>13.7579</v>
      </c>
      <c r="I314" s="43" t="n">
        <v>19.2908</v>
      </c>
      <c r="J314" s="44" t="n">
        <v>302</v>
      </c>
      <c r="K31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4" s="46">
        <f>(Dashboard!$C$13*tblHistory[[#This Row],[NDX S]]+Dashboard!$C$14*tblHistory[[#This Row],[SOX S]]+Dashboard!$C$15*tblHistory[[#This Row],[AIQ S]])/(Dashboard!$C$13+Dashboard!$C$14+Dashboard!$C$15)*100</f>
        <v/>
      </c>
      <c r="U314" s="46">
        <f>(Dashboard!$C$16*tblHistory[[#This Row],[DTCR S]]+Dashboard!$C$17*tblHistory[[#This Row],[BBB S]]+Dashboard!$C$18*tblHistory[[#This Row],[CCC S]])/(Dashboard!$C$16+Dashboard!$C$17+Dashboard!$C$18)*100</f>
        <v/>
      </c>
      <c r="V314" s="46">
        <f>(Dashboard!$C$19*tblHistory[[#This Row],[BIZD S]]+Dashboard!$C$20*tblHistory[[#This Row],[BKLN S]]+Dashboard!$C$21*tblHistory[[#This Row],[HY S]])/(Dashboard!$C$19+Dashboard!$C$20+Dashboard!$C$21)*100</f>
        <v/>
      </c>
      <c r="W31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4" s="46">
        <f>IFERROR(--(tblHistory[[#This Row],[Score]]&gt;=50),0)</f>
        <v/>
      </c>
      <c r="Y314" s="46">
        <f>IFERROR(--AND(tblHistory[[#This Row],[Score]]&gt;=60,OR(AND(tblHistory[[#This Row],[BIZD S]]&gt;=0.8,tblHistory[[#This Row],[BKLN S]]&gt;=0.5),tblHistory[[#This Row],[CCC S]]&gt;=0.8)),0)</f>
        <v/>
      </c>
      <c r="Z314" s="46">
        <f>IFERROR(--AND(tblHistory[[#This Row],[Score]]&gt;=70,tblHistory[[#This Row],[SOX S]]&gt;=0.83,tblHistory[[#This Row],[AIQ S]]&gt;=0.8),0)</f>
        <v/>
      </c>
      <c r="AA31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5">
      <c r="A315" s="42" t="n">
        <v>45870</v>
      </c>
      <c r="B315" s="43" t="n">
        <v>22763.3105</v>
      </c>
      <c r="C315" s="43" t="n">
        <v>5527.6099</v>
      </c>
      <c r="D315" s="43" t="n">
        <v>43.432</v>
      </c>
      <c r="E315" s="43" t="n">
        <v>18.5524</v>
      </c>
      <c r="F315" s="44" t="n">
        <v>104</v>
      </c>
      <c r="G315" s="44" t="n">
        <v>867</v>
      </c>
      <c r="H315" s="43" t="n">
        <v>13.7838</v>
      </c>
      <c r="I315" s="43" t="n">
        <v>19.2632</v>
      </c>
      <c r="J315" s="44" t="n">
        <v>313</v>
      </c>
      <c r="K31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5" s="46">
        <f>(Dashboard!$C$13*tblHistory[[#This Row],[NDX S]]+Dashboard!$C$14*tblHistory[[#This Row],[SOX S]]+Dashboard!$C$15*tblHistory[[#This Row],[AIQ S]])/(Dashboard!$C$13+Dashboard!$C$14+Dashboard!$C$15)*100</f>
        <v/>
      </c>
      <c r="U315" s="46">
        <f>(Dashboard!$C$16*tblHistory[[#This Row],[DTCR S]]+Dashboard!$C$17*tblHistory[[#This Row],[BBB S]]+Dashboard!$C$18*tblHistory[[#This Row],[CCC S]])/(Dashboard!$C$16+Dashboard!$C$17+Dashboard!$C$18)*100</f>
        <v/>
      </c>
      <c r="V315" s="46">
        <f>(Dashboard!$C$19*tblHistory[[#This Row],[BIZD S]]+Dashboard!$C$20*tblHistory[[#This Row],[BKLN S]]+Dashboard!$C$21*tblHistory[[#This Row],[HY S]])/(Dashboard!$C$19+Dashboard!$C$20+Dashboard!$C$21)*100</f>
        <v/>
      </c>
      <c r="W31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5" s="46">
        <f>IFERROR(--(tblHistory[[#This Row],[Score]]&gt;=50),0)</f>
        <v/>
      </c>
      <c r="Y315" s="46">
        <f>IFERROR(--AND(tblHistory[[#This Row],[Score]]&gt;=60,OR(AND(tblHistory[[#This Row],[BIZD S]]&gt;=0.8,tblHistory[[#This Row],[BKLN S]]&gt;=0.5),tblHistory[[#This Row],[CCC S]]&gt;=0.8)),0)</f>
        <v/>
      </c>
      <c r="Z315" s="46">
        <f>IFERROR(--AND(tblHistory[[#This Row],[Score]]&gt;=70,tblHistory[[#This Row],[SOX S]]&gt;=0.83,tblHistory[[#This Row],[AIQ S]]&gt;=0.8),0)</f>
        <v/>
      </c>
      <c r="AA31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6">
      <c r="A316" s="42" t="n">
        <v>45869</v>
      </c>
      <c r="B316" s="43" t="n">
        <v>23218.1191</v>
      </c>
      <c r="C316" s="43" t="n">
        <v>5607.9199</v>
      </c>
      <c r="D316" s="43" t="n">
        <v>44.531</v>
      </c>
      <c r="E316" s="43" t="n">
        <v>18.8692</v>
      </c>
      <c r="F316" s="44" t="n">
        <v>99</v>
      </c>
      <c r="G316" s="44" t="n">
        <v>824</v>
      </c>
      <c r="H316" s="43" t="n">
        <v>13.9651</v>
      </c>
      <c r="I316" s="43" t="n">
        <v>19.3001</v>
      </c>
      <c r="J316" s="44" t="n">
        <v>286</v>
      </c>
      <c r="K31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6" s="46">
        <f>(Dashboard!$C$13*tblHistory[[#This Row],[NDX S]]+Dashboard!$C$14*tblHistory[[#This Row],[SOX S]]+Dashboard!$C$15*tblHistory[[#This Row],[AIQ S]])/(Dashboard!$C$13+Dashboard!$C$14+Dashboard!$C$15)*100</f>
        <v/>
      </c>
      <c r="U316" s="46">
        <f>(Dashboard!$C$16*tblHistory[[#This Row],[DTCR S]]+Dashboard!$C$17*tblHistory[[#This Row],[BBB S]]+Dashboard!$C$18*tblHistory[[#This Row],[CCC S]])/(Dashboard!$C$16+Dashboard!$C$17+Dashboard!$C$18)*100</f>
        <v/>
      </c>
      <c r="V316" s="46">
        <f>(Dashboard!$C$19*tblHistory[[#This Row],[BIZD S]]+Dashboard!$C$20*tblHistory[[#This Row],[BKLN S]]+Dashboard!$C$21*tblHistory[[#This Row],[HY S]])/(Dashboard!$C$19+Dashboard!$C$20+Dashboard!$C$21)*100</f>
        <v/>
      </c>
      <c r="W31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6" s="46">
        <f>IFERROR(--(tblHistory[[#This Row],[Score]]&gt;=50),0)</f>
        <v/>
      </c>
      <c r="Y316" s="46">
        <f>IFERROR(--AND(tblHistory[[#This Row],[Score]]&gt;=60,OR(AND(tblHistory[[#This Row],[BIZD S]]&gt;=0.8,tblHistory[[#This Row],[BKLN S]]&gt;=0.5),tblHistory[[#This Row],[CCC S]]&gt;=0.8)),0)</f>
        <v/>
      </c>
      <c r="Z316" s="46">
        <f>IFERROR(--AND(tblHistory[[#This Row],[Score]]&gt;=70,tblHistory[[#This Row],[SOX S]]&gt;=0.83,tblHistory[[#This Row],[AIQ S]]&gt;=0.8),0)</f>
        <v/>
      </c>
      <c r="AA31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7">
      <c r="A317" s="42" t="n">
        <v>45868</v>
      </c>
      <c r="B317" s="43" t="n">
        <v>23345.4102</v>
      </c>
      <c r="C317" s="43" t="n">
        <v>5787.3198</v>
      </c>
      <c r="D317" s="43" t="n">
        <v>44.7808</v>
      </c>
      <c r="E317" s="43" t="n">
        <v>18.889</v>
      </c>
      <c r="F317" s="44" t="n">
        <v>99</v>
      </c>
      <c r="G317" s="44" t="n">
        <v>839</v>
      </c>
      <c r="H317" s="43" t="n">
        <v>13.9823</v>
      </c>
      <c r="I317" s="43" t="n">
        <v>19.2816</v>
      </c>
      <c r="J317" s="44" t="n">
        <v>289</v>
      </c>
      <c r="K31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7" s="46">
        <f>(Dashboard!$C$13*tblHistory[[#This Row],[NDX S]]+Dashboard!$C$14*tblHistory[[#This Row],[SOX S]]+Dashboard!$C$15*tblHistory[[#This Row],[AIQ S]])/(Dashboard!$C$13+Dashboard!$C$14+Dashboard!$C$15)*100</f>
        <v/>
      </c>
      <c r="U317" s="46">
        <f>(Dashboard!$C$16*tblHistory[[#This Row],[DTCR S]]+Dashboard!$C$17*tblHistory[[#This Row],[BBB S]]+Dashboard!$C$18*tblHistory[[#This Row],[CCC S]])/(Dashboard!$C$16+Dashboard!$C$17+Dashboard!$C$18)*100</f>
        <v/>
      </c>
      <c r="V317" s="46">
        <f>(Dashboard!$C$19*tblHistory[[#This Row],[BIZD S]]+Dashboard!$C$20*tblHistory[[#This Row],[BKLN S]]+Dashboard!$C$21*tblHistory[[#This Row],[HY S]])/(Dashboard!$C$19+Dashboard!$C$20+Dashboard!$C$21)*100</f>
        <v/>
      </c>
      <c r="W31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7" s="46">
        <f>IFERROR(--(tblHistory[[#This Row],[Score]]&gt;=50),0)</f>
        <v/>
      </c>
      <c r="Y317" s="46">
        <f>IFERROR(--AND(tblHistory[[#This Row],[Score]]&gt;=60,OR(AND(tblHistory[[#This Row],[BIZD S]]&gt;=0.8,tblHistory[[#This Row],[BKLN S]]&gt;=0.5),tblHistory[[#This Row],[CCC S]]&gt;=0.8)),0)</f>
        <v/>
      </c>
      <c r="Z317" s="46">
        <f>IFERROR(--AND(tblHistory[[#This Row],[Score]]&gt;=70,tblHistory[[#This Row],[SOX S]]&gt;=0.83,tblHistory[[#This Row],[AIQ S]]&gt;=0.8),0)</f>
        <v/>
      </c>
      <c r="AA31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8">
      <c r="A318" s="42" t="n">
        <v>45867</v>
      </c>
      <c r="B318" s="43" t="n">
        <v>23308.3008</v>
      </c>
      <c r="C318" s="43" t="n">
        <v>5739.79</v>
      </c>
      <c r="D318" s="43" t="n">
        <v>44.8408</v>
      </c>
      <c r="E318" s="43" t="n">
        <v>19.0573</v>
      </c>
      <c r="F318" s="44" t="n">
        <v>100</v>
      </c>
      <c r="G318" s="44" t="n">
        <v>835</v>
      </c>
      <c r="H318" s="43" t="n">
        <v>14.0859</v>
      </c>
      <c r="I318" s="43" t="n">
        <v>19.3093</v>
      </c>
      <c r="J318" s="44" t="n">
        <v>286</v>
      </c>
      <c r="K31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8" s="46">
        <f>(Dashboard!$C$13*tblHistory[[#This Row],[NDX S]]+Dashboard!$C$14*tblHistory[[#This Row],[SOX S]]+Dashboard!$C$15*tblHistory[[#This Row],[AIQ S]])/(Dashboard!$C$13+Dashboard!$C$14+Dashboard!$C$15)*100</f>
        <v/>
      </c>
      <c r="U318" s="46">
        <f>(Dashboard!$C$16*tblHistory[[#This Row],[DTCR S]]+Dashboard!$C$17*tblHistory[[#This Row],[BBB S]]+Dashboard!$C$18*tblHistory[[#This Row],[CCC S]])/(Dashboard!$C$16+Dashboard!$C$17+Dashboard!$C$18)*100</f>
        <v/>
      </c>
      <c r="V318" s="46">
        <f>(Dashboard!$C$19*tblHistory[[#This Row],[BIZD S]]+Dashboard!$C$20*tblHistory[[#This Row],[BKLN S]]+Dashboard!$C$21*tblHistory[[#This Row],[HY S]])/(Dashboard!$C$19+Dashboard!$C$20+Dashboard!$C$21)*100</f>
        <v/>
      </c>
      <c r="W31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8" s="46">
        <f>IFERROR(--(tblHistory[[#This Row],[Score]]&gt;=50),0)</f>
        <v/>
      </c>
      <c r="Y318" s="46">
        <f>IFERROR(--AND(tblHistory[[#This Row],[Score]]&gt;=60,OR(AND(tblHistory[[#This Row],[BIZD S]]&gt;=0.8,tblHistory[[#This Row],[BKLN S]]&gt;=0.5),tblHistory[[#This Row],[CCC S]]&gt;=0.8)),0)</f>
        <v/>
      </c>
      <c r="Z318" s="46">
        <f>IFERROR(--AND(tblHistory[[#This Row],[Score]]&gt;=70,tblHistory[[#This Row],[SOX S]]&gt;=0.83,tblHistory[[#This Row],[AIQ S]]&gt;=0.8),0)</f>
        <v/>
      </c>
      <c r="AA31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19">
      <c r="A319" s="42" t="n">
        <v>45866</v>
      </c>
      <c r="B319" s="43" t="n">
        <v>23356.2695</v>
      </c>
      <c r="C319" s="43" t="n">
        <v>5737.1001</v>
      </c>
      <c r="D319" s="43" t="n">
        <v>44.8907</v>
      </c>
      <c r="E319" s="43" t="n">
        <v>19.1662</v>
      </c>
      <c r="F319" s="44" t="n">
        <v>98</v>
      </c>
      <c r="G319" s="44" t="n">
        <v>827</v>
      </c>
      <c r="H319" s="43" t="n">
        <v>14.1981</v>
      </c>
      <c r="I319" s="43" t="n">
        <v>19.2908</v>
      </c>
      <c r="J319" s="44" t="n">
        <v>282</v>
      </c>
      <c r="K31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1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1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1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1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1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1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1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1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19" s="46">
        <f>(Dashboard!$C$13*tblHistory[[#This Row],[NDX S]]+Dashboard!$C$14*tblHistory[[#This Row],[SOX S]]+Dashboard!$C$15*tblHistory[[#This Row],[AIQ S]])/(Dashboard!$C$13+Dashboard!$C$14+Dashboard!$C$15)*100</f>
        <v/>
      </c>
      <c r="U319" s="46">
        <f>(Dashboard!$C$16*tblHistory[[#This Row],[DTCR S]]+Dashboard!$C$17*tblHistory[[#This Row],[BBB S]]+Dashboard!$C$18*tblHistory[[#This Row],[CCC S]])/(Dashboard!$C$16+Dashboard!$C$17+Dashboard!$C$18)*100</f>
        <v/>
      </c>
      <c r="V319" s="46">
        <f>(Dashboard!$C$19*tblHistory[[#This Row],[BIZD S]]+Dashboard!$C$20*tblHistory[[#This Row],[BKLN S]]+Dashboard!$C$21*tblHistory[[#This Row],[HY S]])/(Dashboard!$C$19+Dashboard!$C$20+Dashboard!$C$21)*100</f>
        <v/>
      </c>
      <c r="W31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19" s="46">
        <f>IFERROR(--(tblHistory[[#This Row],[Score]]&gt;=50),0)</f>
        <v/>
      </c>
      <c r="Y319" s="46">
        <f>IFERROR(--AND(tblHistory[[#This Row],[Score]]&gt;=60,OR(AND(tblHistory[[#This Row],[BIZD S]]&gt;=0.8,tblHistory[[#This Row],[BKLN S]]&gt;=0.5),tblHistory[[#This Row],[CCC S]]&gt;=0.8)),0)</f>
        <v/>
      </c>
      <c r="Z319" s="46">
        <f>IFERROR(--AND(tblHistory[[#This Row],[Score]]&gt;=70,tblHistory[[#This Row],[SOX S]]&gt;=0.83,tblHistory[[#This Row],[AIQ S]]&gt;=0.8),0)</f>
        <v/>
      </c>
      <c r="AA31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1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1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1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1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0">
      <c r="A320" s="42" t="n">
        <v>45863</v>
      </c>
      <c r="B320" s="43" t="n">
        <v>23272.25</v>
      </c>
      <c r="C320" s="43" t="n">
        <v>5645.8599</v>
      </c>
      <c r="D320" s="43" t="n">
        <v>44.7009</v>
      </c>
      <c r="E320" s="43" t="n">
        <v>19.3048</v>
      </c>
      <c r="F320" s="44" t="n">
        <v>99</v>
      </c>
      <c r="G320" s="44" t="n">
        <v>834</v>
      </c>
      <c r="H320" s="43" t="n">
        <v>14.3966</v>
      </c>
      <c r="I320" s="43" t="n">
        <v>19.2908</v>
      </c>
      <c r="J320" s="44" t="n">
        <v>284</v>
      </c>
      <c r="K32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0" s="46">
        <f>(Dashboard!$C$13*tblHistory[[#This Row],[NDX S]]+Dashboard!$C$14*tblHistory[[#This Row],[SOX S]]+Dashboard!$C$15*tblHistory[[#This Row],[AIQ S]])/(Dashboard!$C$13+Dashboard!$C$14+Dashboard!$C$15)*100</f>
        <v/>
      </c>
      <c r="U320" s="46">
        <f>(Dashboard!$C$16*tblHistory[[#This Row],[DTCR S]]+Dashboard!$C$17*tblHistory[[#This Row],[BBB S]]+Dashboard!$C$18*tblHistory[[#This Row],[CCC S]])/(Dashboard!$C$16+Dashboard!$C$17+Dashboard!$C$18)*100</f>
        <v/>
      </c>
      <c r="V320" s="46">
        <f>(Dashboard!$C$19*tblHistory[[#This Row],[BIZD S]]+Dashboard!$C$20*tblHistory[[#This Row],[BKLN S]]+Dashboard!$C$21*tblHistory[[#This Row],[HY S]])/(Dashboard!$C$19+Dashboard!$C$20+Dashboard!$C$21)*100</f>
        <v/>
      </c>
      <c r="W32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0" s="46">
        <f>IFERROR(--(tblHistory[[#This Row],[Score]]&gt;=50),0)</f>
        <v/>
      </c>
      <c r="Y320" s="46">
        <f>IFERROR(--AND(tblHistory[[#This Row],[Score]]&gt;=60,OR(AND(tblHistory[[#This Row],[BIZD S]]&gt;=0.8,tblHistory[[#This Row],[BKLN S]]&gt;=0.5),tblHistory[[#This Row],[CCC S]]&gt;=0.8)),0)</f>
        <v/>
      </c>
      <c r="Z320" s="46">
        <f>IFERROR(--AND(tblHistory[[#This Row],[Score]]&gt;=70,tblHistory[[#This Row],[SOX S]]&gt;=0.83,tblHistory[[#This Row],[AIQ S]]&gt;=0.8),0)</f>
        <v/>
      </c>
      <c r="AA32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1">
      <c r="A321" s="42" t="n">
        <v>45862</v>
      </c>
      <c r="B321" s="43" t="n">
        <v>23219.8691</v>
      </c>
      <c r="C321" s="43" t="n">
        <v>5644.3701</v>
      </c>
      <c r="D321" s="43" t="n">
        <v>44.551</v>
      </c>
      <c r="E321" s="43" t="n">
        <v>19.3345</v>
      </c>
      <c r="F321" s="44" t="n">
        <v>99</v>
      </c>
      <c r="G321" s="44" t="n">
        <v>831</v>
      </c>
      <c r="H321" s="43" t="n">
        <v>14.3535</v>
      </c>
      <c r="I321" s="43" t="n">
        <v>19.3001</v>
      </c>
      <c r="J321" s="44" t="n">
        <v>282</v>
      </c>
      <c r="K32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1" s="46">
        <f>(Dashboard!$C$13*tblHistory[[#This Row],[NDX S]]+Dashboard!$C$14*tblHistory[[#This Row],[SOX S]]+Dashboard!$C$15*tblHistory[[#This Row],[AIQ S]])/(Dashboard!$C$13+Dashboard!$C$14+Dashboard!$C$15)*100</f>
        <v/>
      </c>
      <c r="U321" s="46">
        <f>(Dashboard!$C$16*tblHistory[[#This Row],[DTCR S]]+Dashboard!$C$17*tblHistory[[#This Row],[BBB S]]+Dashboard!$C$18*tblHistory[[#This Row],[CCC S]])/(Dashboard!$C$16+Dashboard!$C$17+Dashboard!$C$18)*100</f>
        <v/>
      </c>
      <c r="V321" s="46">
        <f>(Dashboard!$C$19*tblHistory[[#This Row],[BIZD S]]+Dashboard!$C$20*tblHistory[[#This Row],[BKLN S]]+Dashboard!$C$21*tblHistory[[#This Row],[HY S]])/(Dashboard!$C$19+Dashboard!$C$20+Dashboard!$C$21)*100</f>
        <v/>
      </c>
      <c r="W32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1" s="46">
        <f>IFERROR(--(tblHistory[[#This Row],[Score]]&gt;=50),0)</f>
        <v/>
      </c>
      <c r="Y321" s="46">
        <f>IFERROR(--AND(tblHistory[[#This Row],[Score]]&gt;=60,OR(AND(tblHistory[[#This Row],[BIZD S]]&gt;=0.8,tblHistory[[#This Row],[BKLN S]]&gt;=0.5),tblHistory[[#This Row],[CCC S]]&gt;=0.8)),0)</f>
        <v/>
      </c>
      <c r="Z321" s="46">
        <f>IFERROR(--AND(tblHistory[[#This Row],[Score]]&gt;=70,tblHistory[[#This Row],[SOX S]]&gt;=0.83,tblHistory[[#This Row],[AIQ S]]&gt;=0.8),0)</f>
        <v/>
      </c>
      <c r="AA32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2">
      <c r="A322" s="42" t="n">
        <v>45861</v>
      </c>
      <c r="B322" s="43" t="n">
        <v>23162.4102</v>
      </c>
      <c r="C322" s="43" t="n">
        <v>5637.79</v>
      </c>
      <c r="D322" s="43" t="n">
        <v>44.7309</v>
      </c>
      <c r="E322" s="43" t="n">
        <v>19.3345</v>
      </c>
      <c r="F322" s="44" t="n">
        <v>100</v>
      </c>
      <c r="G322" s="44" t="n">
        <v>834</v>
      </c>
      <c r="H322" s="43" t="n">
        <v>14.4484</v>
      </c>
      <c r="I322" s="43" t="n">
        <v>19.3093</v>
      </c>
      <c r="J322" s="44" t="n">
        <v>283</v>
      </c>
      <c r="K32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2" s="46">
        <f>(Dashboard!$C$13*tblHistory[[#This Row],[NDX S]]+Dashboard!$C$14*tblHistory[[#This Row],[SOX S]]+Dashboard!$C$15*tblHistory[[#This Row],[AIQ S]])/(Dashboard!$C$13+Dashboard!$C$14+Dashboard!$C$15)*100</f>
        <v/>
      </c>
      <c r="U322" s="46">
        <f>(Dashboard!$C$16*tblHistory[[#This Row],[DTCR S]]+Dashboard!$C$17*tblHistory[[#This Row],[BBB S]]+Dashboard!$C$18*tblHistory[[#This Row],[CCC S]])/(Dashboard!$C$16+Dashboard!$C$17+Dashboard!$C$18)*100</f>
        <v/>
      </c>
      <c r="V322" s="46">
        <f>(Dashboard!$C$19*tblHistory[[#This Row],[BIZD S]]+Dashboard!$C$20*tblHistory[[#This Row],[BKLN S]]+Dashboard!$C$21*tblHistory[[#This Row],[HY S]])/(Dashboard!$C$19+Dashboard!$C$20+Dashboard!$C$21)*100</f>
        <v/>
      </c>
      <c r="W32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2" s="46">
        <f>IFERROR(--(tblHistory[[#This Row],[Score]]&gt;=50),0)</f>
        <v/>
      </c>
      <c r="Y322" s="46">
        <f>IFERROR(--AND(tblHistory[[#This Row],[Score]]&gt;=60,OR(AND(tblHistory[[#This Row],[BIZD S]]&gt;=0.8,tblHistory[[#This Row],[BKLN S]]&gt;=0.5),tblHistory[[#This Row],[CCC S]]&gt;=0.8)),0)</f>
        <v/>
      </c>
      <c r="Z322" s="46">
        <f>IFERROR(--AND(tblHistory[[#This Row],[Score]]&gt;=70,tblHistory[[#This Row],[SOX S]]&gt;=0.83,tblHistory[[#This Row],[AIQ S]]&gt;=0.8),0)</f>
        <v/>
      </c>
      <c r="AA32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3">
      <c r="A323" s="42" t="n">
        <v>45860</v>
      </c>
      <c r="B323" s="43" t="n">
        <v>23063.5801</v>
      </c>
      <c r="C323" s="43" t="n">
        <v>5638.71</v>
      </c>
      <c r="D323" s="43" t="n">
        <v>44.1414</v>
      </c>
      <c r="E323" s="43" t="n">
        <v>19.1563</v>
      </c>
      <c r="F323" s="44" t="n">
        <v>102</v>
      </c>
      <c r="G323" s="44" t="n">
        <v>842</v>
      </c>
      <c r="H323" s="43" t="n">
        <v>14.3362</v>
      </c>
      <c r="I323" s="43" t="n">
        <v>19.3001</v>
      </c>
      <c r="J323" s="44" t="n">
        <v>290</v>
      </c>
      <c r="K32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3" s="46">
        <f>(Dashboard!$C$13*tblHistory[[#This Row],[NDX S]]+Dashboard!$C$14*tblHistory[[#This Row],[SOX S]]+Dashboard!$C$15*tblHistory[[#This Row],[AIQ S]])/(Dashboard!$C$13+Dashboard!$C$14+Dashboard!$C$15)*100</f>
        <v/>
      </c>
      <c r="U323" s="46">
        <f>(Dashboard!$C$16*tblHistory[[#This Row],[DTCR S]]+Dashboard!$C$17*tblHistory[[#This Row],[BBB S]]+Dashboard!$C$18*tblHistory[[#This Row],[CCC S]])/(Dashboard!$C$16+Dashboard!$C$17+Dashboard!$C$18)*100</f>
        <v/>
      </c>
      <c r="V323" s="46">
        <f>(Dashboard!$C$19*tblHistory[[#This Row],[BIZD S]]+Dashboard!$C$20*tblHistory[[#This Row],[BKLN S]]+Dashboard!$C$21*tblHistory[[#This Row],[HY S]])/(Dashboard!$C$19+Dashboard!$C$20+Dashboard!$C$21)*100</f>
        <v/>
      </c>
      <c r="W32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3" s="46">
        <f>IFERROR(--(tblHistory[[#This Row],[Score]]&gt;=50),0)</f>
        <v/>
      </c>
      <c r="Y323" s="46">
        <f>IFERROR(--AND(tblHistory[[#This Row],[Score]]&gt;=60,OR(AND(tblHistory[[#This Row],[BIZD S]]&gt;=0.8,tblHistory[[#This Row],[BKLN S]]&gt;=0.5),tblHistory[[#This Row],[CCC S]]&gt;=0.8)),0)</f>
        <v/>
      </c>
      <c r="Z323" s="46">
        <f>IFERROR(--AND(tblHistory[[#This Row],[Score]]&gt;=70,tblHistory[[#This Row],[SOX S]]&gt;=0.83,tblHistory[[#This Row],[AIQ S]]&gt;=0.8),0)</f>
        <v/>
      </c>
      <c r="AA32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4">
      <c r="A324" s="42" t="n">
        <v>45859</v>
      </c>
      <c r="B324" s="43" t="n">
        <v>23180.0605</v>
      </c>
      <c r="C324" s="43" t="n">
        <v>5739.4199</v>
      </c>
      <c r="D324" s="43" t="n">
        <v>44.4911</v>
      </c>
      <c r="E324" s="43" t="n">
        <v>19.0969</v>
      </c>
      <c r="F324" s="44" t="n">
        <v>101</v>
      </c>
      <c r="G324" s="44" t="n">
        <v>844</v>
      </c>
      <c r="H324" s="43" t="n">
        <v>14.2585</v>
      </c>
      <c r="I324" s="43" t="n">
        <v>19.2908</v>
      </c>
      <c r="J324" s="44" t="n">
        <v>289</v>
      </c>
      <c r="K32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4" s="46">
        <f>(Dashboard!$C$13*tblHistory[[#This Row],[NDX S]]+Dashboard!$C$14*tblHistory[[#This Row],[SOX S]]+Dashboard!$C$15*tblHistory[[#This Row],[AIQ S]])/(Dashboard!$C$13+Dashboard!$C$14+Dashboard!$C$15)*100</f>
        <v/>
      </c>
      <c r="U324" s="46">
        <f>(Dashboard!$C$16*tblHistory[[#This Row],[DTCR S]]+Dashboard!$C$17*tblHistory[[#This Row],[BBB S]]+Dashboard!$C$18*tblHistory[[#This Row],[CCC S]])/(Dashboard!$C$16+Dashboard!$C$17+Dashboard!$C$18)*100</f>
        <v/>
      </c>
      <c r="V324" s="46">
        <f>(Dashboard!$C$19*tblHistory[[#This Row],[BIZD S]]+Dashboard!$C$20*tblHistory[[#This Row],[BKLN S]]+Dashboard!$C$21*tblHistory[[#This Row],[HY S]])/(Dashboard!$C$19+Dashboard!$C$20+Dashboard!$C$21)*100</f>
        <v/>
      </c>
      <c r="W32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4" s="46">
        <f>IFERROR(--(tblHistory[[#This Row],[Score]]&gt;=50),0)</f>
        <v/>
      </c>
      <c r="Y324" s="46">
        <f>IFERROR(--AND(tblHistory[[#This Row],[Score]]&gt;=60,OR(AND(tblHistory[[#This Row],[BIZD S]]&gt;=0.8,tblHistory[[#This Row],[BKLN S]]&gt;=0.5),tblHistory[[#This Row],[CCC S]]&gt;=0.8)),0)</f>
        <v/>
      </c>
      <c r="Z324" s="46">
        <f>IFERROR(--AND(tblHistory[[#This Row],[Score]]&gt;=70,tblHistory[[#This Row],[SOX S]]&gt;=0.83,tblHistory[[#This Row],[AIQ S]]&gt;=0.8),0)</f>
        <v/>
      </c>
      <c r="AA32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5">
      <c r="A325" s="42" t="n">
        <v>45856</v>
      </c>
      <c r="B325" s="43" t="n">
        <v>23065.4707</v>
      </c>
      <c r="C325" s="43" t="n">
        <v>5732.6201</v>
      </c>
      <c r="D325" s="43" t="n">
        <v>44.3212</v>
      </c>
      <c r="E325" s="43" t="n">
        <v>19.1217</v>
      </c>
      <c r="F325" s="44" t="n">
        <v>101</v>
      </c>
      <c r="G325" s="44" t="n">
        <v>854</v>
      </c>
      <c r="H325" s="43" t="n">
        <v>14.457</v>
      </c>
      <c r="I325" s="43" t="n">
        <v>19.2733</v>
      </c>
      <c r="J325" s="44" t="n">
        <v>293</v>
      </c>
      <c r="K32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5" s="46">
        <f>(Dashboard!$C$13*tblHistory[[#This Row],[NDX S]]+Dashboard!$C$14*tblHistory[[#This Row],[SOX S]]+Dashboard!$C$15*tblHistory[[#This Row],[AIQ S]])/(Dashboard!$C$13+Dashboard!$C$14+Dashboard!$C$15)*100</f>
        <v/>
      </c>
      <c r="U325" s="46">
        <f>(Dashboard!$C$16*tblHistory[[#This Row],[DTCR S]]+Dashboard!$C$17*tblHistory[[#This Row],[BBB S]]+Dashboard!$C$18*tblHistory[[#This Row],[CCC S]])/(Dashboard!$C$16+Dashboard!$C$17+Dashboard!$C$18)*100</f>
        <v/>
      </c>
      <c r="V325" s="46">
        <f>(Dashboard!$C$19*tblHistory[[#This Row],[BIZD S]]+Dashboard!$C$20*tblHistory[[#This Row],[BKLN S]]+Dashboard!$C$21*tblHistory[[#This Row],[HY S]])/(Dashboard!$C$19+Dashboard!$C$20+Dashboard!$C$21)*100</f>
        <v/>
      </c>
      <c r="W32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5" s="46">
        <f>IFERROR(--(tblHistory[[#This Row],[Score]]&gt;=50),0)</f>
        <v/>
      </c>
      <c r="Y325" s="46">
        <f>IFERROR(--AND(tblHistory[[#This Row],[Score]]&gt;=60,OR(AND(tblHistory[[#This Row],[BIZD S]]&gt;=0.8,tblHistory[[#This Row],[BKLN S]]&gt;=0.5),tblHistory[[#This Row],[CCC S]]&gt;=0.8)),0)</f>
        <v/>
      </c>
      <c r="Z325" s="46">
        <f>IFERROR(--AND(tblHistory[[#This Row],[Score]]&gt;=70,tblHistory[[#This Row],[SOX S]]&gt;=0.83,tblHistory[[#This Row],[AIQ S]]&gt;=0.8),0)</f>
        <v/>
      </c>
      <c r="AA32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6">
      <c r="A326" s="42" t="n">
        <v>45855</v>
      </c>
      <c r="B326" s="43" t="n">
        <v>23081.0508</v>
      </c>
      <c r="C326" s="43" t="n">
        <v>5737.6401</v>
      </c>
      <c r="D326" s="43" t="n">
        <v>44.3912</v>
      </c>
      <c r="E326" s="43" t="n">
        <v>19.0573</v>
      </c>
      <c r="F326" s="44" t="n">
        <v>101</v>
      </c>
      <c r="G326" s="44" t="n">
        <v>852</v>
      </c>
      <c r="H326" s="43" t="n">
        <v>14.5175</v>
      </c>
      <c r="I326" s="43" t="n">
        <v>19.2733</v>
      </c>
      <c r="J326" s="44" t="n">
        <v>291</v>
      </c>
      <c r="K32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6" s="46">
        <f>(Dashboard!$C$13*tblHistory[[#This Row],[NDX S]]+Dashboard!$C$14*tblHistory[[#This Row],[SOX S]]+Dashboard!$C$15*tblHistory[[#This Row],[AIQ S]])/(Dashboard!$C$13+Dashboard!$C$14+Dashboard!$C$15)*100</f>
        <v/>
      </c>
      <c r="U326" s="46">
        <f>(Dashboard!$C$16*tblHistory[[#This Row],[DTCR S]]+Dashboard!$C$17*tblHistory[[#This Row],[BBB S]]+Dashboard!$C$18*tblHistory[[#This Row],[CCC S]])/(Dashboard!$C$16+Dashboard!$C$17+Dashboard!$C$18)*100</f>
        <v/>
      </c>
      <c r="V326" s="46">
        <f>(Dashboard!$C$19*tblHistory[[#This Row],[BIZD S]]+Dashboard!$C$20*tblHistory[[#This Row],[BKLN S]]+Dashboard!$C$21*tblHistory[[#This Row],[HY S]])/(Dashboard!$C$19+Dashboard!$C$20+Dashboard!$C$21)*100</f>
        <v/>
      </c>
      <c r="W32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6" s="46">
        <f>IFERROR(--(tblHistory[[#This Row],[Score]]&gt;=50),0)</f>
        <v/>
      </c>
      <c r="Y326" s="46">
        <f>IFERROR(--AND(tblHistory[[#This Row],[Score]]&gt;=60,OR(AND(tblHistory[[#This Row],[BIZD S]]&gt;=0.8,tblHistory[[#This Row],[BKLN S]]&gt;=0.5),tblHistory[[#This Row],[CCC S]]&gt;=0.8)),0)</f>
        <v/>
      </c>
      <c r="Z326" s="46">
        <f>IFERROR(--AND(tblHistory[[#This Row],[Score]]&gt;=70,tblHistory[[#This Row],[SOX S]]&gt;=0.83,tblHistory[[#This Row],[AIQ S]]&gt;=0.8),0)</f>
        <v/>
      </c>
      <c r="AA32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7">
      <c r="A327" s="42" t="n">
        <v>45854</v>
      </c>
      <c r="B327" s="43" t="n">
        <v>22907.9707</v>
      </c>
      <c r="C327" s="43" t="n">
        <v>5696.21</v>
      </c>
      <c r="D327" s="43" t="n">
        <v>43.9416</v>
      </c>
      <c r="E327" s="43" t="n">
        <v>18.9187</v>
      </c>
      <c r="F327" s="44" t="n">
        <v>102</v>
      </c>
      <c r="G327" s="44" t="n">
        <v>857</v>
      </c>
      <c r="H327" s="43" t="n">
        <v>14.3621</v>
      </c>
      <c r="I327" s="43" t="n">
        <v>19.2825</v>
      </c>
      <c r="J327" s="44" t="n">
        <v>300</v>
      </c>
      <c r="K32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7" s="46">
        <f>(Dashboard!$C$13*tblHistory[[#This Row],[NDX S]]+Dashboard!$C$14*tblHistory[[#This Row],[SOX S]]+Dashboard!$C$15*tblHistory[[#This Row],[AIQ S]])/(Dashboard!$C$13+Dashboard!$C$14+Dashboard!$C$15)*100</f>
        <v/>
      </c>
      <c r="U327" s="46">
        <f>(Dashboard!$C$16*tblHistory[[#This Row],[DTCR S]]+Dashboard!$C$17*tblHistory[[#This Row],[BBB S]]+Dashboard!$C$18*tblHistory[[#This Row],[CCC S]])/(Dashboard!$C$16+Dashboard!$C$17+Dashboard!$C$18)*100</f>
        <v/>
      </c>
      <c r="V327" s="46">
        <f>(Dashboard!$C$19*tblHistory[[#This Row],[BIZD S]]+Dashboard!$C$20*tblHistory[[#This Row],[BKLN S]]+Dashboard!$C$21*tblHistory[[#This Row],[HY S]])/(Dashboard!$C$19+Dashboard!$C$20+Dashboard!$C$21)*100</f>
        <v/>
      </c>
      <c r="W32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7" s="46">
        <f>IFERROR(--(tblHistory[[#This Row],[Score]]&gt;=50),0)</f>
        <v/>
      </c>
      <c r="Y327" s="46">
        <f>IFERROR(--AND(tblHistory[[#This Row],[Score]]&gt;=60,OR(AND(tblHistory[[#This Row],[BIZD S]]&gt;=0.8,tblHistory[[#This Row],[BKLN S]]&gt;=0.5),tblHistory[[#This Row],[CCC S]]&gt;=0.8)),0)</f>
        <v/>
      </c>
      <c r="Z327" s="46">
        <f>IFERROR(--AND(tblHistory[[#This Row],[Score]]&gt;=70,tblHistory[[#This Row],[SOX S]]&gt;=0.83,tblHistory[[#This Row],[AIQ S]]&gt;=0.8),0)</f>
        <v/>
      </c>
      <c r="AA32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8">
      <c r="A328" s="42" t="n">
        <v>45853</v>
      </c>
      <c r="B328" s="43" t="n">
        <v>22884.5898</v>
      </c>
      <c r="C328" s="43" t="n">
        <v>5718.6099</v>
      </c>
      <c r="D328" s="43" t="n">
        <v>43.7517</v>
      </c>
      <c r="E328" s="43" t="n">
        <v>18.7405</v>
      </c>
      <c r="F328" s="44" t="n">
        <v>101</v>
      </c>
      <c r="G328" s="44" t="n">
        <v>851</v>
      </c>
      <c r="H328" s="43" t="n">
        <v>14.224</v>
      </c>
      <c r="I328" s="43" t="n">
        <v>19.2642</v>
      </c>
      <c r="J328" s="44" t="n">
        <v>295</v>
      </c>
      <c r="K32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8" s="46">
        <f>(Dashboard!$C$13*tblHistory[[#This Row],[NDX S]]+Dashboard!$C$14*tblHistory[[#This Row],[SOX S]]+Dashboard!$C$15*tblHistory[[#This Row],[AIQ S]])/(Dashboard!$C$13+Dashboard!$C$14+Dashboard!$C$15)*100</f>
        <v/>
      </c>
      <c r="U328" s="46">
        <f>(Dashboard!$C$16*tblHistory[[#This Row],[DTCR S]]+Dashboard!$C$17*tblHistory[[#This Row],[BBB S]]+Dashboard!$C$18*tblHistory[[#This Row],[CCC S]])/(Dashboard!$C$16+Dashboard!$C$17+Dashboard!$C$18)*100</f>
        <v/>
      </c>
      <c r="V328" s="46">
        <f>(Dashboard!$C$19*tblHistory[[#This Row],[BIZD S]]+Dashboard!$C$20*tblHistory[[#This Row],[BKLN S]]+Dashboard!$C$21*tblHistory[[#This Row],[HY S]])/(Dashboard!$C$19+Dashboard!$C$20+Dashboard!$C$21)*100</f>
        <v/>
      </c>
      <c r="W32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8" s="46">
        <f>IFERROR(--(tblHistory[[#This Row],[Score]]&gt;=50),0)</f>
        <v/>
      </c>
      <c r="Y328" s="46">
        <f>IFERROR(--AND(tblHistory[[#This Row],[Score]]&gt;=60,OR(AND(tblHistory[[#This Row],[BIZD S]]&gt;=0.8,tblHistory[[#This Row],[BKLN S]]&gt;=0.5),tblHistory[[#This Row],[CCC S]]&gt;=0.8)),0)</f>
        <v/>
      </c>
      <c r="Z328" s="46">
        <f>IFERROR(--AND(tblHistory[[#This Row],[Score]]&gt;=70,tblHistory[[#This Row],[SOX S]]&gt;=0.83,tblHistory[[#This Row],[AIQ S]]&gt;=0.8),0)</f>
        <v/>
      </c>
      <c r="AA32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29">
      <c r="A329" s="42" t="n">
        <v>45852</v>
      </c>
      <c r="B329" s="43" t="n">
        <v>22855.6309</v>
      </c>
      <c r="C329" s="43" t="n">
        <v>5646.7202</v>
      </c>
      <c r="D329" s="43" t="n">
        <v>43.472</v>
      </c>
      <c r="E329" s="43" t="n">
        <v>18.4831</v>
      </c>
      <c r="F329" s="44" t="n">
        <v>103</v>
      </c>
      <c r="G329" s="44" t="n">
        <v>854</v>
      </c>
      <c r="H329" s="43" t="n">
        <v>14.2413</v>
      </c>
      <c r="I329" s="43" t="n">
        <v>19.2733</v>
      </c>
      <c r="J329" s="44" t="n">
        <v>295</v>
      </c>
      <c r="K32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2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2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2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2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2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2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2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2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29" s="46">
        <f>(Dashboard!$C$13*tblHistory[[#This Row],[NDX S]]+Dashboard!$C$14*tblHistory[[#This Row],[SOX S]]+Dashboard!$C$15*tblHistory[[#This Row],[AIQ S]])/(Dashboard!$C$13+Dashboard!$C$14+Dashboard!$C$15)*100</f>
        <v/>
      </c>
      <c r="U329" s="46">
        <f>(Dashboard!$C$16*tblHistory[[#This Row],[DTCR S]]+Dashboard!$C$17*tblHistory[[#This Row],[BBB S]]+Dashboard!$C$18*tblHistory[[#This Row],[CCC S]])/(Dashboard!$C$16+Dashboard!$C$17+Dashboard!$C$18)*100</f>
        <v/>
      </c>
      <c r="V329" s="46">
        <f>(Dashboard!$C$19*tblHistory[[#This Row],[BIZD S]]+Dashboard!$C$20*tblHistory[[#This Row],[BKLN S]]+Dashboard!$C$21*tblHistory[[#This Row],[HY S]])/(Dashboard!$C$19+Dashboard!$C$20+Dashboard!$C$21)*100</f>
        <v/>
      </c>
      <c r="W32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29" s="46">
        <f>IFERROR(--(tblHistory[[#This Row],[Score]]&gt;=50),0)</f>
        <v/>
      </c>
      <c r="Y329" s="46">
        <f>IFERROR(--AND(tblHistory[[#This Row],[Score]]&gt;=60,OR(AND(tblHistory[[#This Row],[BIZD S]]&gt;=0.8,tblHistory[[#This Row],[BKLN S]]&gt;=0.5),tblHistory[[#This Row],[CCC S]]&gt;=0.8)),0)</f>
        <v/>
      </c>
      <c r="Z329" s="46">
        <f>IFERROR(--AND(tblHistory[[#This Row],[Score]]&gt;=70,tblHistory[[#This Row],[SOX S]]&gt;=0.83,tblHistory[[#This Row],[AIQ S]]&gt;=0.8),0)</f>
        <v/>
      </c>
      <c r="AA32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2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2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2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2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0">
      <c r="A330" s="42" t="n">
        <v>45849</v>
      </c>
      <c r="B330" s="43" t="n">
        <v>22780.5996</v>
      </c>
      <c r="C330" s="43" t="n">
        <v>5696.29</v>
      </c>
      <c r="D330" s="43" t="n">
        <v>43.2422</v>
      </c>
      <c r="E330" s="43" t="n">
        <v>18.3445</v>
      </c>
      <c r="F330" s="44" t="n">
        <v>103</v>
      </c>
      <c r="G330" s="44" t="n">
        <v>857</v>
      </c>
      <c r="H330" s="43" t="n">
        <v>14.2585</v>
      </c>
      <c r="I330" s="43" t="n">
        <v>19.2642</v>
      </c>
      <c r="J330" s="44" t="n">
        <v>297</v>
      </c>
      <c r="K33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0" s="46">
        <f>(Dashboard!$C$13*tblHistory[[#This Row],[NDX S]]+Dashboard!$C$14*tblHistory[[#This Row],[SOX S]]+Dashboard!$C$15*tblHistory[[#This Row],[AIQ S]])/(Dashboard!$C$13+Dashboard!$C$14+Dashboard!$C$15)*100</f>
        <v/>
      </c>
      <c r="U330" s="46">
        <f>(Dashboard!$C$16*tblHistory[[#This Row],[DTCR S]]+Dashboard!$C$17*tblHistory[[#This Row],[BBB S]]+Dashboard!$C$18*tblHistory[[#This Row],[CCC S]])/(Dashboard!$C$16+Dashboard!$C$17+Dashboard!$C$18)*100</f>
        <v/>
      </c>
      <c r="V330" s="46">
        <f>(Dashboard!$C$19*tblHistory[[#This Row],[BIZD S]]+Dashboard!$C$20*tblHistory[[#This Row],[BKLN S]]+Dashboard!$C$21*tblHistory[[#This Row],[HY S]])/(Dashboard!$C$19+Dashboard!$C$20+Dashboard!$C$21)*100</f>
        <v/>
      </c>
      <c r="W33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0" s="46">
        <f>IFERROR(--(tblHistory[[#This Row],[Score]]&gt;=50),0)</f>
        <v/>
      </c>
      <c r="Y330" s="46">
        <f>IFERROR(--AND(tblHistory[[#This Row],[Score]]&gt;=60,OR(AND(tblHistory[[#This Row],[BIZD S]]&gt;=0.8,tblHistory[[#This Row],[BKLN S]]&gt;=0.5),tblHistory[[#This Row],[CCC S]]&gt;=0.8)),0)</f>
        <v/>
      </c>
      <c r="Z330" s="46">
        <f>IFERROR(--AND(tblHistory[[#This Row],[Score]]&gt;=70,tblHistory[[#This Row],[SOX S]]&gt;=0.83,tblHistory[[#This Row],[AIQ S]]&gt;=0.8),0)</f>
        <v/>
      </c>
      <c r="AA33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1">
      <c r="A331" s="42" t="n">
        <v>45848</v>
      </c>
      <c r="B331" s="43" t="n">
        <v>22829.2598</v>
      </c>
      <c r="C331" s="43" t="n">
        <v>5708.2798</v>
      </c>
      <c r="D331" s="43" t="n">
        <v>43.6119</v>
      </c>
      <c r="E331" s="43" t="n">
        <v>18.3247</v>
      </c>
      <c r="F331" s="44" t="n">
        <v>103</v>
      </c>
      <c r="G331" s="44" t="n">
        <v>853</v>
      </c>
      <c r="H331" s="43" t="n">
        <v>14.1118</v>
      </c>
      <c r="I331" s="43" t="n">
        <v>19.255</v>
      </c>
      <c r="J331" s="44" t="n">
        <v>292</v>
      </c>
      <c r="K33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1" s="46">
        <f>(Dashboard!$C$13*tblHistory[[#This Row],[NDX S]]+Dashboard!$C$14*tblHistory[[#This Row],[SOX S]]+Dashboard!$C$15*tblHistory[[#This Row],[AIQ S]])/(Dashboard!$C$13+Dashboard!$C$14+Dashboard!$C$15)*100</f>
        <v/>
      </c>
      <c r="U331" s="46">
        <f>(Dashboard!$C$16*tblHistory[[#This Row],[DTCR S]]+Dashboard!$C$17*tblHistory[[#This Row],[BBB S]]+Dashboard!$C$18*tblHistory[[#This Row],[CCC S]])/(Dashboard!$C$16+Dashboard!$C$17+Dashboard!$C$18)*100</f>
        <v/>
      </c>
      <c r="V331" s="46">
        <f>(Dashboard!$C$19*tblHistory[[#This Row],[BIZD S]]+Dashboard!$C$20*tblHistory[[#This Row],[BKLN S]]+Dashboard!$C$21*tblHistory[[#This Row],[HY S]])/(Dashboard!$C$19+Dashboard!$C$20+Dashboard!$C$21)*100</f>
        <v/>
      </c>
      <c r="W33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1" s="46">
        <f>IFERROR(--(tblHistory[[#This Row],[Score]]&gt;=50),0)</f>
        <v/>
      </c>
      <c r="Y331" s="46">
        <f>IFERROR(--AND(tblHistory[[#This Row],[Score]]&gt;=60,OR(AND(tblHistory[[#This Row],[BIZD S]]&gt;=0.8,tblHistory[[#This Row],[BKLN S]]&gt;=0.5),tblHistory[[#This Row],[CCC S]]&gt;=0.8)),0)</f>
        <v/>
      </c>
      <c r="Z331" s="46">
        <f>IFERROR(--AND(tblHistory[[#This Row],[Score]]&gt;=70,tblHistory[[#This Row],[SOX S]]&gt;=0.83,tblHistory[[#This Row],[AIQ S]]&gt;=0.8),0)</f>
        <v/>
      </c>
      <c r="AA33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2">
      <c r="A332" s="42" t="n">
        <v>45847</v>
      </c>
      <c r="B332" s="43" t="n">
        <v>22864.9102</v>
      </c>
      <c r="C332" s="43" t="n">
        <v>5665.9902</v>
      </c>
      <c r="D332" s="43" t="n">
        <v>43.7317</v>
      </c>
      <c r="E332" s="43" t="n">
        <v>18.3346</v>
      </c>
      <c r="F332" s="44" t="n">
        <v>104</v>
      </c>
      <c r="G332" s="44" t="n">
        <v>857</v>
      </c>
      <c r="H332" s="43" t="n">
        <v>13.9564</v>
      </c>
      <c r="I332" s="43" t="n">
        <v>19.2275</v>
      </c>
      <c r="J332" s="44" t="n">
        <v>294</v>
      </c>
      <c r="K33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2" s="46">
        <f>(Dashboard!$C$13*tblHistory[[#This Row],[NDX S]]+Dashboard!$C$14*tblHistory[[#This Row],[SOX S]]+Dashboard!$C$15*tblHistory[[#This Row],[AIQ S]])/(Dashboard!$C$13+Dashboard!$C$14+Dashboard!$C$15)*100</f>
        <v/>
      </c>
      <c r="U332" s="46">
        <f>(Dashboard!$C$16*tblHistory[[#This Row],[DTCR S]]+Dashboard!$C$17*tblHistory[[#This Row],[BBB S]]+Dashboard!$C$18*tblHistory[[#This Row],[CCC S]])/(Dashboard!$C$16+Dashboard!$C$17+Dashboard!$C$18)*100</f>
        <v/>
      </c>
      <c r="V332" s="46">
        <f>(Dashboard!$C$19*tblHistory[[#This Row],[BIZD S]]+Dashboard!$C$20*tblHistory[[#This Row],[BKLN S]]+Dashboard!$C$21*tblHistory[[#This Row],[HY S]])/(Dashboard!$C$19+Dashboard!$C$20+Dashboard!$C$21)*100</f>
        <v/>
      </c>
      <c r="W33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2" s="46">
        <f>IFERROR(--(tblHistory[[#This Row],[Score]]&gt;=50),0)</f>
        <v/>
      </c>
      <c r="Y332" s="46">
        <f>IFERROR(--AND(tblHistory[[#This Row],[Score]]&gt;=60,OR(AND(tblHistory[[#This Row],[BIZD S]]&gt;=0.8,tblHistory[[#This Row],[BKLN S]]&gt;=0.5),tblHistory[[#This Row],[CCC S]]&gt;=0.8)),0)</f>
        <v/>
      </c>
      <c r="Z332" s="46">
        <f>IFERROR(--AND(tblHistory[[#This Row],[Score]]&gt;=70,tblHistory[[#This Row],[SOX S]]&gt;=0.83,tblHistory[[#This Row],[AIQ S]]&gt;=0.8),0)</f>
        <v/>
      </c>
      <c r="AA33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3">
      <c r="A333" s="42" t="n">
        <v>45846</v>
      </c>
      <c r="B333" s="43" t="n">
        <v>22702.25</v>
      </c>
      <c r="C333" s="43" t="n">
        <v>5641.2202</v>
      </c>
      <c r="D333" s="43" t="n">
        <v>43.6418</v>
      </c>
      <c r="E333" s="43" t="n">
        <v>18.2653</v>
      </c>
      <c r="F333" s="44" t="n">
        <v>102</v>
      </c>
      <c r="G333" s="44" t="n">
        <v>860</v>
      </c>
      <c r="H333" s="43" t="n">
        <v>13.9392</v>
      </c>
      <c r="I333" s="43" t="n">
        <v>19.2091</v>
      </c>
      <c r="J333" s="44" t="n">
        <v>292</v>
      </c>
      <c r="K33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3" s="46">
        <f>(Dashboard!$C$13*tblHistory[[#This Row],[NDX S]]+Dashboard!$C$14*tblHistory[[#This Row],[SOX S]]+Dashboard!$C$15*tblHistory[[#This Row],[AIQ S]])/(Dashboard!$C$13+Dashboard!$C$14+Dashboard!$C$15)*100</f>
        <v/>
      </c>
      <c r="U333" s="46">
        <f>(Dashboard!$C$16*tblHistory[[#This Row],[DTCR S]]+Dashboard!$C$17*tblHistory[[#This Row],[BBB S]]+Dashboard!$C$18*tblHistory[[#This Row],[CCC S]])/(Dashboard!$C$16+Dashboard!$C$17+Dashboard!$C$18)*100</f>
        <v/>
      </c>
      <c r="V333" s="46">
        <f>(Dashboard!$C$19*tblHistory[[#This Row],[BIZD S]]+Dashboard!$C$20*tblHistory[[#This Row],[BKLN S]]+Dashboard!$C$21*tblHistory[[#This Row],[HY S]])/(Dashboard!$C$19+Dashboard!$C$20+Dashboard!$C$21)*100</f>
        <v/>
      </c>
      <c r="W33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3" s="46">
        <f>IFERROR(--(tblHistory[[#This Row],[Score]]&gt;=50),0)</f>
        <v/>
      </c>
      <c r="Y333" s="46">
        <f>IFERROR(--AND(tblHistory[[#This Row],[Score]]&gt;=60,OR(AND(tblHistory[[#This Row],[BIZD S]]&gt;=0.8,tblHistory[[#This Row],[BKLN S]]&gt;=0.5),tblHistory[[#This Row],[CCC S]]&gt;=0.8)),0)</f>
        <v/>
      </c>
      <c r="Z333" s="46">
        <f>IFERROR(--AND(tblHistory[[#This Row],[Score]]&gt;=70,tblHistory[[#This Row],[SOX S]]&gt;=0.83,tblHistory[[#This Row],[AIQ S]]&gt;=0.8),0)</f>
        <v/>
      </c>
      <c r="AA33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4">
      <c r="A334" s="42" t="n">
        <v>45845</v>
      </c>
      <c r="B334" s="43" t="n">
        <v>22685.5703</v>
      </c>
      <c r="C334" s="43" t="n">
        <v>5541.2002</v>
      </c>
      <c r="D334" s="43" t="n">
        <v>43.5019</v>
      </c>
      <c r="E334" s="43" t="n">
        <v>18.2257</v>
      </c>
      <c r="F334" s="44" t="n">
        <v>102</v>
      </c>
      <c r="G334" s="44" t="n">
        <v>859</v>
      </c>
      <c r="H334" s="43" t="n">
        <v>13.9219</v>
      </c>
      <c r="I334" s="43" t="n">
        <v>19.2091</v>
      </c>
      <c r="J334" s="44" t="n">
        <v>286</v>
      </c>
      <c r="K33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4" s="46">
        <f>(Dashboard!$C$13*tblHistory[[#This Row],[NDX S]]+Dashboard!$C$14*tblHistory[[#This Row],[SOX S]]+Dashboard!$C$15*tblHistory[[#This Row],[AIQ S]])/(Dashboard!$C$13+Dashboard!$C$14+Dashboard!$C$15)*100</f>
        <v/>
      </c>
      <c r="U334" s="46">
        <f>(Dashboard!$C$16*tblHistory[[#This Row],[DTCR S]]+Dashboard!$C$17*tblHistory[[#This Row],[BBB S]]+Dashboard!$C$18*tblHistory[[#This Row],[CCC S]])/(Dashboard!$C$16+Dashboard!$C$17+Dashboard!$C$18)*100</f>
        <v/>
      </c>
      <c r="V334" s="46">
        <f>(Dashboard!$C$19*tblHistory[[#This Row],[BIZD S]]+Dashboard!$C$20*tblHistory[[#This Row],[BKLN S]]+Dashboard!$C$21*tblHistory[[#This Row],[HY S]])/(Dashboard!$C$19+Dashboard!$C$20+Dashboard!$C$21)*100</f>
        <v/>
      </c>
      <c r="W33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4" s="46">
        <f>IFERROR(--(tblHistory[[#This Row],[Score]]&gt;=50),0)</f>
        <v/>
      </c>
      <c r="Y334" s="46">
        <f>IFERROR(--AND(tblHistory[[#This Row],[Score]]&gt;=60,OR(AND(tblHistory[[#This Row],[BIZD S]]&gt;=0.8,tblHistory[[#This Row],[BKLN S]]&gt;=0.5),tblHistory[[#This Row],[CCC S]]&gt;=0.8)),0)</f>
        <v/>
      </c>
      <c r="Z334" s="46">
        <f>IFERROR(--AND(tblHistory[[#This Row],[Score]]&gt;=70,tblHistory[[#This Row],[SOX S]]&gt;=0.83,tblHistory[[#This Row],[AIQ S]]&gt;=0.8),0)</f>
        <v/>
      </c>
      <c r="AA33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5">
      <c r="A335" s="42" t="n">
        <v>45841</v>
      </c>
      <c r="B335" s="43" t="n">
        <v>22866.9707</v>
      </c>
      <c r="C335" s="43" t="n">
        <v>5647.1201</v>
      </c>
      <c r="D335" s="43" t="n">
        <v>43.9615</v>
      </c>
      <c r="E335" s="43" t="n">
        <v>18.6118</v>
      </c>
      <c r="F335" s="44" t="n">
        <v>101</v>
      </c>
      <c r="G335" s="44" t="n">
        <v>861</v>
      </c>
      <c r="H335" s="43" t="n">
        <v>13.9996</v>
      </c>
      <c r="I335" s="43" t="n">
        <v>19.2367</v>
      </c>
      <c r="J335" s="44" t="n">
        <v>280</v>
      </c>
      <c r="K33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5" s="46">
        <f>(Dashboard!$C$13*tblHistory[[#This Row],[NDX S]]+Dashboard!$C$14*tblHistory[[#This Row],[SOX S]]+Dashboard!$C$15*tblHistory[[#This Row],[AIQ S]])/(Dashboard!$C$13+Dashboard!$C$14+Dashboard!$C$15)*100</f>
        <v/>
      </c>
      <c r="U335" s="46">
        <f>(Dashboard!$C$16*tblHistory[[#This Row],[DTCR S]]+Dashboard!$C$17*tblHistory[[#This Row],[BBB S]]+Dashboard!$C$18*tblHistory[[#This Row],[CCC S]])/(Dashboard!$C$16+Dashboard!$C$17+Dashboard!$C$18)*100</f>
        <v/>
      </c>
      <c r="V335" s="46">
        <f>(Dashboard!$C$19*tblHistory[[#This Row],[BIZD S]]+Dashboard!$C$20*tblHistory[[#This Row],[BKLN S]]+Dashboard!$C$21*tblHistory[[#This Row],[HY S]])/(Dashboard!$C$19+Dashboard!$C$20+Dashboard!$C$21)*100</f>
        <v/>
      </c>
      <c r="W33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5" s="46">
        <f>IFERROR(--(tblHistory[[#This Row],[Score]]&gt;=50),0)</f>
        <v/>
      </c>
      <c r="Y335" s="46">
        <f>IFERROR(--AND(tblHistory[[#This Row],[Score]]&gt;=60,OR(AND(tblHistory[[#This Row],[BIZD S]]&gt;=0.8,tblHistory[[#This Row],[BKLN S]]&gt;=0.5),tblHistory[[#This Row],[CCC S]]&gt;=0.8)),0)</f>
        <v/>
      </c>
      <c r="Z335" s="46">
        <f>IFERROR(--AND(tblHistory[[#This Row],[Score]]&gt;=70,tblHistory[[#This Row],[SOX S]]&gt;=0.83,tblHistory[[#This Row],[AIQ S]]&gt;=0.8),0)</f>
        <v/>
      </c>
      <c r="AA33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6">
      <c r="A336" s="42" t="n">
        <v>45840</v>
      </c>
      <c r="B336" s="43" t="n">
        <v>22641.8906</v>
      </c>
      <c r="C336" s="43" t="n">
        <v>5611.0498</v>
      </c>
      <c r="D336" s="43" t="n">
        <v>43.452</v>
      </c>
      <c r="E336" s="43" t="n">
        <v>18.493</v>
      </c>
      <c r="F336" s="44" t="n">
        <v>103</v>
      </c>
      <c r="G336" s="44" t="n">
        <v>871</v>
      </c>
      <c r="H336" s="43" t="n">
        <v>13.8442</v>
      </c>
      <c r="I336" s="43" t="n">
        <v>19.2091</v>
      </c>
      <c r="J336" s="44" t="n">
        <v>288</v>
      </c>
      <c r="K33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6" s="46">
        <f>(Dashboard!$C$13*tblHistory[[#This Row],[NDX S]]+Dashboard!$C$14*tblHistory[[#This Row],[SOX S]]+Dashboard!$C$15*tblHistory[[#This Row],[AIQ S]])/(Dashboard!$C$13+Dashboard!$C$14+Dashboard!$C$15)*100</f>
        <v/>
      </c>
      <c r="U336" s="46">
        <f>(Dashboard!$C$16*tblHistory[[#This Row],[DTCR S]]+Dashboard!$C$17*tblHistory[[#This Row],[BBB S]]+Dashboard!$C$18*tblHistory[[#This Row],[CCC S]])/(Dashboard!$C$16+Dashboard!$C$17+Dashboard!$C$18)*100</f>
        <v/>
      </c>
      <c r="V336" s="46">
        <f>(Dashboard!$C$19*tblHistory[[#This Row],[BIZD S]]+Dashboard!$C$20*tblHistory[[#This Row],[BKLN S]]+Dashboard!$C$21*tblHistory[[#This Row],[HY S]])/(Dashboard!$C$19+Dashboard!$C$20+Dashboard!$C$21)*100</f>
        <v/>
      </c>
      <c r="W33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6" s="46">
        <f>IFERROR(--(tblHistory[[#This Row],[Score]]&gt;=50),0)</f>
        <v/>
      </c>
      <c r="Y336" s="46">
        <f>IFERROR(--AND(tblHistory[[#This Row],[Score]]&gt;=60,OR(AND(tblHistory[[#This Row],[BIZD S]]&gt;=0.8,tblHistory[[#This Row],[BKLN S]]&gt;=0.5),tblHistory[[#This Row],[CCC S]]&gt;=0.8)),0)</f>
        <v/>
      </c>
      <c r="Z336" s="46">
        <f>IFERROR(--AND(tblHistory[[#This Row],[Score]]&gt;=70,tblHistory[[#This Row],[SOX S]]&gt;=0.83,tblHistory[[#This Row],[AIQ S]]&gt;=0.8),0)</f>
        <v/>
      </c>
      <c r="AA33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7">
      <c r="A337" s="42" t="n">
        <v>45839</v>
      </c>
      <c r="B337" s="43" t="n">
        <v>22478.1309</v>
      </c>
      <c r="C337" s="43" t="n">
        <v>5507.5</v>
      </c>
      <c r="D337" s="43" t="n">
        <v>43.1622</v>
      </c>
      <c r="E337" s="43" t="n">
        <v>18.2752</v>
      </c>
      <c r="F337" s="44" t="n">
        <v>106</v>
      </c>
      <c r="G337" s="44" t="n">
        <v>876</v>
      </c>
      <c r="H337" s="43" t="n">
        <v>13.7407</v>
      </c>
      <c r="I337" s="43" t="n">
        <v>19.1908</v>
      </c>
      <c r="J337" s="44" t="n">
        <v>291</v>
      </c>
      <c r="K33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7" s="46">
        <f>(Dashboard!$C$13*tblHistory[[#This Row],[NDX S]]+Dashboard!$C$14*tblHistory[[#This Row],[SOX S]]+Dashboard!$C$15*tblHistory[[#This Row],[AIQ S]])/(Dashboard!$C$13+Dashboard!$C$14+Dashboard!$C$15)*100</f>
        <v/>
      </c>
      <c r="U337" s="46">
        <f>(Dashboard!$C$16*tblHistory[[#This Row],[DTCR S]]+Dashboard!$C$17*tblHistory[[#This Row],[BBB S]]+Dashboard!$C$18*tblHistory[[#This Row],[CCC S]])/(Dashboard!$C$16+Dashboard!$C$17+Dashboard!$C$18)*100</f>
        <v/>
      </c>
      <c r="V337" s="46">
        <f>(Dashboard!$C$19*tblHistory[[#This Row],[BIZD S]]+Dashboard!$C$20*tblHistory[[#This Row],[BKLN S]]+Dashboard!$C$21*tblHistory[[#This Row],[HY S]])/(Dashboard!$C$19+Dashboard!$C$20+Dashboard!$C$21)*100</f>
        <v/>
      </c>
      <c r="W33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7" s="46">
        <f>IFERROR(--(tblHistory[[#This Row],[Score]]&gt;=50),0)</f>
        <v/>
      </c>
      <c r="Y337" s="46">
        <f>IFERROR(--AND(tblHistory[[#This Row],[Score]]&gt;=60,OR(AND(tblHistory[[#This Row],[BIZD S]]&gt;=0.8,tblHistory[[#This Row],[BKLN S]]&gt;=0.5),tblHistory[[#This Row],[CCC S]]&gt;=0.8)),0)</f>
        <v/>
      </c>
      <c r="Z337" s="46">
        <f>IFERROR(--AND(tblHistory[[#This Row],[Score]]&gt;=70,tblHistory[[#This Row],[SOX S]]&gt;=0.83,tblHistory[[#This Row],[AIQ S]]&gt;=0.8),0)</f>
        <v/>
      </c>
      <c r="AA33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8">
      <c r="A338" s="42" t="n">
        <v>45838</v>
      </c>
      <c r="B338" s="43" t="n">
        <v>22679.0098</v>
      </c>
      <c r="C338" s="43" t="n">
        <v>5546.54</v>
      </c>
      <c r="D338" s="43" t="n">
        <v>43.6518</v>
      </c>
      <c r="E338" s="43" t="n">
        <v>18.4534</v>
      </c>
      <c r="F338" s="44" t="n">
        <v>108</v>
      </c>
      <c r="G338" s="44" t="n">
        <v>886</v>
      </c>
      <c r="H338" s="43" t="n">
        <v>13.6725</v>
      </c>
      <c r="I338" s="43" t="n">
        <v>19.1816</v>
      </c>
      <c r="J338" s="44" t="n">
        <v>296</v>
      </c>
      <c r="K33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8" s="46">
        <f>(Dashboard!$C$13*tblHistory[[#This Row],[NDX S]]+Dashboard!$C$14*tblHistory[[#This Row],[SOX S]]+Dashboard!$C$15*tblHistory[[#This Row],[AIQ S]])/(Dashboard!$C$13+Dashboard!$C$14+Dashboard!$C$15)*100</f>
        <v/>
      </c>
      <c r="U338" s="46">
        <f>(Dashboard!$C$16*tblHistory[[#This Row],[DTCR S]]+Dashboard!$C$17*tblHistory[[#This Row],[BBB S]]+Dashboard!$C$18*tblHistory[[#This Row],[CCC S]])/(Dashboard!$C$16+Dashboard!$C$17+Dashboard!$C$18)*100</f>
        <v/>
      </c>
      <c r="V338" s="46">
        <f>(Dashboard!$C$19*tblHistory[[#This Row],[BIZD S]]+Dashboard!$C$20*tblHistory[[#This Row],[BKLN S]]+Dashboard!$C$21*tblHistory[[#This Row],[HY S]])/(Dashboard!$C$19+Dashboard!$C$20+Dashboard!$C$21)*100</f>
        <v/>
      </c>
      <c r="W33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8" s="46">
        <f>IFERROR(--(tblHistory[[#This Row],[Score]]&gt;=50),0)</f>
        <v/>
      </c>
      <c r="Y338" s="46">
        <f>IFERROR(--AND(tblHistory[[#This Row],[Score]]&gt;=60,OR(AND(tblHistory[[#This Row],[BIZD S]]&gt;=0.8,tblHistory[[#This Row],[BKLN S]]&gt;=0.5),tblHistory[[#This Row],[CCC S]]&gt;=0.8)),0)</f>
        <v/>
      </c>
      <c r="Z338" s="46">
        <f>IFERROR(--AND(tblHistory[[#This Row],[Score]]&gt;=70,tblHistory[[#This Row],[SOX S]]&gt;=0.83,tblHistory[[#This Row],[AIQ S]]&gt;=0.8),0)</f>
        <v/>
      </c>
      <c r="AA33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39">
      <c r="A339" s="42" t="n">
        <v>45835</v>
      </c>
      <c r="B339" s="43" t="n">
        <v>22534.1992</v>
      </c>
      <c r="C339" s="43" t="n">
        <v>5544.9902</v>
      </c>
      <c r="D339" s="43" t="n">
        <v>43.3321</v>
      </c>
      <c r="E339" s="43" t="n">
        <v>18.3148</v>
      </c>
      <c r="F339" s="44" t="n">
        <v>110</v>
      </c>
      <c r="G339" s="44" t="n">
        <v>888</v>
      </c>
      <c r="H339" s="43" t="n">
        <v>13.6053</v>
      </c>
      <c r="I339" s="43" t="n">
        <v>19.1633</v>
      </c>
      <c r="J339" s="44" t="n">
        <v>302</v>
      </c>
      <c r="K33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3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3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3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3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3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3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3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3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39" s="46">
        <f>(Dashboard!$C$13*tblHistory[[#This Row],[NDX S]]+Dashboard!$C$14*tblHistory[[#This Row],[SOX S]]+Dashboard!$C$15*tblHistory[[#This Row],[AIQ S]])/(Dashboard!$C$13+Dashboard!$C$14+Dashboard!$C$15)*100</f>
        <v/>
      </c>
      <c r="U339" s="46">
        <f>(Dashboard!$C$16*tblHistory[[#This Row],[DTCR S]]+Dashboard!$C$17*tblHistory[[#This Row],[BBB S]]+Dashboard!$C$18*tblHistory[[#This Row],[CCC S]])/(Dashboard!$C$16+Dashboard!$C$17+Dashboard!$C$18)*100</f>
        <v/>
      </c>
      <c r="V339" s="46">
        <f>(Dashboard!$C$19*tblHistory[[#This Row],[BIZD S]]+Dashboard!$C$20*tblHistory[[#This Row],[BKLN S]]+Dashboard!$C$21*tblHistory[[#This Row],[HY S]])/(Dashboard!$C$19+Dashboard!$C$20+Dashboard!$C$21)*100</f>
        <v/>
      </c>
      <c r="W33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39" s="46">
        <f>IFERROR(--(tblHistory[[#This Row],[Score]]&gt;=50),0)</f>
        <v/>
      </c>
      <c r="Y339" s="46">
        <f>IFERROR(--AND(tblHistory[[#This Row],[Score]]&gt;=60,OR(AND(tblHistory[[#This Row],[BIZD S]]&gt;=0.8,tblHistory[[#This Row],[BKLN S]]&gt;=0.5),tblHistory[[#This Row],[CCC S]]&gt;=0.8)),0)</f>
        <v/>
      </c>
      <c r="Z339" s="46">
        <f>IFERROR(--AND(tblHistory[[#This Row],[Score]]&gt;=70,tblHistory[[#This Row],[SOX S]]&gt;=0.83,tblHistory[[#This Row],[AIQ S]]&gt;=0.8),0)</f>
        <v/>
      </c>
      <c r="AA33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3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3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3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3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0">
      <c r="A340" s="42" t="n">
        <v>45834</v>
      </c>
      <c r="B340" s="43" t="n">
        <v>22447.2891</v>
      </c>
      <c r="C340" s="43" t="n">
        <v>5541.46</v>
      </c>
      <c r="D340" s="43" t="n">
        <v>43.393</v>
      </c>
      <c r="E340" s="43" t="n">
        <v>18.1396</v>
      </c>
      <c r="F340" s="44" t="n">
        <v>111</v>
      </c>
      <c r="G340" s="44" t="n">
        <v>895</v>
      </c>
      <c r="H340" s="43" t="n">
        <v>13.6473</v>
      </c>
      <c r="I340" s="43" t="n">
        <v>19.1358</v>
      </c>
      <c r="J340" s="44" t="n">
        <v>304</v>
      </c>
      <c r="K34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0" s="46">
        <f>(Dashboard!$C$13*tblHistory[[#This Row],[NDX S]]+Dashboard!$C$14*tblHistory[[#This Row],[SOX S]]+Dashboard!$C$15*tblHistory[[#This Row],[AIQ S]])/(Dashboard!$C$13+Dashboard!$C$14+Dashboard!$C$15)*100</f>
        <v/>
      </c>
      <c r="U340" s="46">
        <f>(Dashboard!$C$16*tblHistory[[#This Row],[DTCR S]]+Dashboard!$C$17*tblHistory[[#This Row],[BBB S]]+Dashboard!$C$18*tblHistory[[#This Row],[CCC S]])/(Dashboard!$C$16+Dashboard!$C$17+Dashboard!$C$18)*100</f>
        <v/>
      </c>
      <c r="V340" s="46">
        <f>(Dashboard!$C$19*tblHistory[[#This Row],[BIZD S]]+Dashboard!$C$20*tblHistory[[#This Row],[BKLN S]]+Dashboard!$C$21*tblHistory[[#This Row],[HY S]])/(Dashboard!$C$19+Dashboard!$C$20+Dashboard!$C$21)*100</f>
        <v/>
      </c>
      <c r="W34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0" s="46">
        <f>IFERROR(--(tblHistory[[#This Row],[Score]]&gt;=50),0)</f>
        <v/>
      </c>
      <c r="Y340" s="46">
        <f>IFERROR(--AND(tblHistory[[#This Row],[Score]]&gt;=60,OR(AND(tblHistory[[#This Row],[BIZD S]]&gt;=0.8,tblHistory[[#This Row],[BKLN S]]&gt;=0.5),tblHistory[[#This Row],[CCC S]]&gt;=0.8)),0)</f>
        <v/>
      </c>
      <c r="Z340" s="46">
        <f>IFERROR(--AND(tblHistory[[#This Row],[Score]]&gt;=70,tblHistory[[#This Row],[SOX S]]&gt;=0.83,tblHistory[[#This Row],[AIQ S]]&gt;=0.8),0)</f>
        <v/>
      </c>
      <c r="AA34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1">
      <c r="A341" s="42" t="n">
        <v>45833</v>
      </c>
      <c r="B341" s="43" t="n">
        <v>22237.7402</v>
      </c>
      <c r="C341" s="43" t="n">
        <v>5493.2998</v>
      </c>
      <c r="D341" s="43" t="n">
        <v>42.9938</v>
      </c>
      <c r="E341" s="43" t="n">
        <v>18.2184</v>
      </c>
      <c r="F341" s="44" t="n">
        <v>111</v>
      </c>
      <c r="G341" s="44" t="n">
        <v>892</v>
      </c>
      <c r="H341" s="43" t="n">
        <v>13.4709</v>
      </c>
      <c r="I341" s="43" t="n">
        <v>19.1358</v>
      </c>
      <c r="J341" s="44" t="n">
        <v>304</v>
      </c>
      <c r="K34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1" s="46">
        <f>(Dashboard!$C$13*tblHistory[[#This Row],[NDX S]]+Dashboard!$C$14*tblHistory[[#This Row],[SOX S]]+Dashboard!$C$15*tblHistory[[#This Row],[AIQ S]])/(Dashboard!$C$13+Dashboard!$C$14+Dashboard!$C$15)*100</f>
        <v/>
      </c>
      <c r="U341" s="46">
        <f>(Dashboard!$C$16*tblHistory[[#This Row],[DTCR S]]+Dashboard!$C$17*tblHistory[[#This Row],[BBB S]]+Dashboard!$C$18*tblHistory[[#This Row],[CCC S]])/(Dashboard!$C$16+Dashboard!$C$17+Dashboard!$C$18)*100</f>
        <v/>
      </c>
      <c r="V341" s="46">
        <f>(Dashboard!$C$19*tblHistory[[#This Row],[BIZD S]]+Dashboard!$C$20*tblHistory[[#This Row],[BKLN S]]+Dashboard!$C$21*tblHistory[[#This Row],[HY S]])/(Dashboard!$C$19+Dashboard!$C$20+Dashboard!$C$21)*100</f>
        <v/>
      </c>
      <c r="W34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1" s="46">
        <f>IFERROR(--(tblHistory[[#This Row],[Score]]&gt;=50),0)</f>
        <v/>
      </c>
      <c r="Y341" s="46">
        <f>IFERROR(--AND(tblHistory[[#This Row],[Score]]&gt;=60,OR(AND(tblHistory[[#This Row],[BIZD S]]&gt;=0.8,tblHistory[[#This Row],[BKLN S]]&gt;=0.5),tblHistory[[#This Row],[CCC S]]&gt;=0.8)),0)</f>
        <v/>
      </c>
      <c r="Z341" s="46">
        <f>IFERROR(--AND(tblHistory[[#This Row],[Score]]&gt;=70,tblHistory[[#This Row],[SOX S]]&gt;=0.83,tblHistory[[#This Row],[AIQ S]]&gt;=0.8),0)</f>
        <v/>
      </c>
      <c r="AA34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2">
      <c r="A342" s="42" t="n">
        <v>45832</v>
      </c>
      <c r="B342" s="43" t="n">
        <v>22190.5195</v>
      </c>
      <c r="C342" s="43" t="n">
        <v>5441.8701</v>
      </c>
      <c r="D342" s="43" t="n">
        <v>43.0138</v>
      </c>
      <c r="E342" s="43" t="n">
        <v>18.4744</v>
      </c>
      <c r="F342" s="44" t="n">
        <v>110</v>
      </c>
      <c r="G342" s="44" t="n">
        <v>895</v>
      </c>
      <c r="H342" s="43" t="n">
        <v>13.4709</v>
      </c>
      <c r="I342" s="43" t="n">
        <v>19.1083</v>
      </c>
      <c r="J342" s="44" t="n">
        <v>306</v>
      </c>
      <c r="K34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2" s="46">
        <f>(Dashboard!$C$13*tblHistory[[#This Row],[NDX S]]+Dashboard!$C$14*tblHistory[[#This Row],[SOX S]]+Dashboard!$C$15*tblHistory[[#This Row],[AIQ S]])/(Dashboard!$C$13+Dashboard!$C$14+Dashboard!$C$15)*100</f>
        <v/>
      </c>
      <c r="U342" s="46">
        <f>(Dashboard!$C$16*tblHistory[[#This Row],[DTCR S]]+Dashboard!$C$17*tblHistory[[#This Row],[BBB S]]+Dashboard!$C$18*tblHistory[[#This Row],[CCC S]])/(Dashboard!$C$16+Dashboard!$C$17+Dashboard!$C$18)*100</f>
        <v/>
      </c>
      <c r="V342" s="46">
        <f>(Dashboard!$C$19*tblHistory[[#This Row],[BIZD S]]+Dashboard!$C$20*tblHistory[[#This Row],[BKLN S]]+Dashboard!$C$21*tblHistory[[#This Row],[HY S]])/(Dashboard!$C$19+Dashboard!$C$20+Dashboard!$C$21)*100</f>
        <v/>
      </c>
      <c r="W34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2" s="46">
        <f>IFERROR(--(tblHistory[[#This Row],[Score]]&gt;=50),0)</f>
        <v/>
      </c>
      <c r="Y342" s="46">
        <f>IFERROR(--AND(tblHistory[[#This Row],[Score]]&gt;=60,OR(AND(tblHistory[[#This Row],[BIZD S]]&gt;=0.8,tblHistory[[#This Row],[BKLN S]]&gt;=0.5),tblHistory[[#This Row],[CCC S]]&gt;=0.8)),0)</f>
        <v/>
      </c>
      <c r="Z342" s="46">
        <f>IFERROR(--AND(tblHistory[[#This Row],[Score]]&gt;=70,tblHistory[[#This Row],[SOX S]]&gt;=0.83,tblHistory[[#This Row],[AIQ S]]&gt;=0.8),0)</f>
        <v/>
      </c>
      <c r="AA34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3">
      <c r="A343" s="42" t="n">
        <v>45831</v>
      </c>
      <c r="B343" s="43" t="n">
        <v>21856.3301</v>
      </c>
      <c r="C343" s="43" t="n">
        <v>5244.2998</v>
      </c>
      <c r="D343" s="43" t="n">
        <v>41.8761</v>
      </c>
      <c r="E343" s="43" t="n">
        <v>18.0411</v>
      </c>
      <c r="F343" s="44" t="n">
        <v>112</v>
      </c>
      <c r="G343" s="44" t="n">
        <v>905</v>
      </c>
      <c r="H343" s="43" t="n">
        <v>13.3617</v>
      </c>
      <c r="I343" s="43" t="n">
        <v>19.0808</v>
      </c>
      <c r="J343" s="44" t="n">
        <v>312</v>
      </c>
      <c r="K34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3" s="46">
        <f>(Dashboard!$C$13*tblHistory[[#This Row],[NDX S]]+Dashboard!$C$14*tblHistory[[#This Row],[SOX S]]+Dashboard!$C$15*tblHistory[[#This Row],[AIQ S]])/(Dashboard!$C$13+Dashboard!$C$14+Dashboard!$C$15)*100</f>
        <v/>
      </c>
      <c r="U343" s="46">
        <f>(Dashboard!$C$16*tblHistory[[#This Row],[DTCR S]]+Dashboard!$C$17*tblHistory[[#This Row],[BBB S]]+Dashboard!$C$18*tblHistory[[#This Row],[CCC S]])/(Dashboard!$C$16+Dashboard!$C$17+Dashboard!$C$18)*100</f>
        <v/>
      </c>
      <c r="V343" s="46">
        <f>(Dashboard!$C$19*tblHistory[[#This Row],[BIZD S]]+Dashboard!$C$20*tblHistory[[#This Row],[BKLN S]]+Dashboard!$C$21*tblHistory[[#This Row],[HY S]])/(Dashboard!$C$19+Dashboard!$C$20+Dashboard!$C$21)*100</f>
        <v/>
      </c>
      <c r="W34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3" s="46">
        <f>IFERROR(--(tblHistory[[#This Row],[Score]]&gt;=50),0)</f>
        <v/>
      </c>
      <c r="Y343" s="46">
        <f>IFERROR(--AND(tblHistory[[#This Row],[Score]]&gt;=60,OR(AND(tblHistory[[#This Row],[BIZD S]]&gt;=0.8,tblHistory[[#This Row],[BKLN S]]&gt;=0.5),tblHistory[[#This Row],[CCC S]]&gt;=0.8)),0)</f>
        <v/>
      </c>
      <c r="Z343" s="46">
        <f>IFERROR(--AND(tblHistory[[#This Row],[Score]]&gt;=70,tblHistory[[#This Row],[SOX S]]&gt;=0.83,tblHistory[[#This Row],[AIQ S]]&gt;=0.8),0)</f>
        <v/>
      </c>
      <c r="AA34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4">
      <c r="A344" s="42" t="n">
        <v>45828</v>
      </c>
      <c r="B344" s="43" t="n">
        <v>21626.3906</v>
      </c>
      <c r="C344" s="43" t="n">
        <v>5211.48</v>
      </c>
      <c r="D344" s="43" t="n">
        <v>41.417</v>
      </c>
      <c r="E344" s="43" t="n">
        <v>17.8638</v>
      </c>
      <c r="F344" s="44" t="n">
        <v>110</v>
      </c>
      <c r="G344" s="44" t="n">
        <v>914</v>
      </c>
      <c r="H344" s="43" t="n">
        <v>13.4961</v>
      </c>
      <c r="I344" s="43" t="n">
        <v>19.0661</v>
      </c>
      <c r="J344" s="44" t="n">
        <v>313</v>
      </c>
      <c r="K34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4" s="46">
        <f>(Dashboard!$C$13*tblHistory[[#This Row],[NDX S]]+Dashboard!$C$14*tblHistory[[#This Row],[SOX S]]+Dashboard!$C$15*tblHistory[[#This Row],[AIQ S]])/(Dashboard!$C$13+Dashboard!$C$14+Dashboard!$C$15)*100</f>
        <v/>
      </c>
      <c r="U344" s="46">
        <f>(Dashboard!$C$16*tblHistory[[#This Row],[DTCR S]]+Dashboard!$C$17*tblHistory[[#This Row],[BBB S]]+Dashboard!$C$18*tblHistory[[#This Row],[CCC S]])/(Dashboard!$C$16+Dashboard!$C$17+Dashboard!$C$18)*100</f>
        <v/>
      </c>
      <c r="V344" s="46">
        <f>(Dashboard!$C$19*tblHistory[[#This Row],[BIZD S]]+Dashboard!$C$20*tblHistory[[#This Row],[BKLN S]]+Dashboard!$C$21*tblHistory[[#This Row],[HY S]])/(Dashboard!$C$19+Dashboard!$C$20+Dashboard!$C$21)*100</f>
        <v/>
      </c>
      <c r="W34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4" s="46">
        <f>IFERROR(--(tblHistory[[#This Row],[Score]]&gt;=50),0)</f>
        <v/>
      </c>
      <c r="Y344" s="46">
        <f>IFERROR(--AND(tblHistory[[#This Row],[Score]]&gt;=60,OR(AND(tblHistory[[#This Row],[BIZD S]]&gt;=0.8,tblHistory[[#This Row],[BKLN S]]&gt;=0.5),tblHistory[[#This Row],[CCC S]]&gt;=0.8)),0)</f>
        <v/>
      </c>
      <c r="Z344" s="46">
        <f>IFERROR(--AND(tblHistory[[#This Row],[Score]]&gt;=70,tblHistory[[#This Row],[SOX S]]&gt;=0.83,tblHistory[[#This Row],[AIQ S]]&gt;=0.8),0)</f>
        <v/>
      </c>
      <c r="AA34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5">
      <c r="A345" s="42" t="n">
        <v>45826</v>
      </c>
      <c r="B345" s="43" t="n">
        <v>21719.6895</v>
      </c>
      <c r="C345" s="43" t="n">
        <v>5251.02</v>
      </c>
      <c r="D345" s="43" t="n">
        <v>41.7962</v>
      </c>
      <c r="E345" s="43" t="n">
        <v>17.9131</v>
      </c>
      <c r="F345" s="44" t="n">
        <v>110</v>
      </c>
      <c r="G345" s="44" t="n">
        <v>914</v>
      </c>
      <c r="H345" s="43" t="n">
        <v>13.5381</v>
      </c>
      <c r="I345" s="43" t="n">
        <v>19.057</v>
      </c>
      <c r="J345" s="44" t="n">
        <v>316</v>
      </c>
      <c r="K34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5" s="46">
        <f>(Dashboard!$C$13*tblHistory[[#This Row],[NDX S]]+Dashboard!$C$14*tblHistory[[#This Row],[SOX S]]+Dashboard!$C$15*tblHistory[[#This Row],[AIQ S]])/(Dashboard!$C$13+Dashboard!$C$14+Dashboard!$C$15)*100</f>
        <v/>
      </c>
      <c r="U345" s="46">
        <f>(Dashboard!$C$16*tblHistory[[#This Row],[DTCR S]]+Dashboard!$C$17*tblHistory[[#This Row],[BBB S]]+Dashboard!$C$18*tblHistory[[#This Row],[CCC S]])/(Dashboard!$C$16+Dashboard!$C$17+Dashboard!$C$18)*100</f>
        <v/>
      </c>
      <c r="V345" s="46">
        <f>(Dashboard!$C$19*tblHistory[[#This Row],[BIZD S]]+Dashboard!$C$20*tblHistory[[#This Row],[BKLN S]]+Dashboard!$C$21*tblHistory[[#This Row],[HY S]])/(Dashboard!$C$19+Dashboard!$C$20+Dashboard!$C$21)*100</f>
        <v/>
      </c>
      <c r="W34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5" s="46">
        <f>IFERROR(--(tblHistory[[#This Row],[Score]]&gt;=50),0)</f>
        <v/>
      </c>
      <c r="Y345" s="46">
        <f>IFERROR(--AND(tblHistory[[#This Row],[Score]]&gt;=60,OR(AND(tblHistory[[#This Row],[BIZD S]]&gt;=0.8,tblHistory[[#This Row],[BKLN S]]&gt;=0.5),tblHistory[[#This Row],[CCC S]]&gt;=0.8)),0)</f>
        <v/>
      </c>
      <c r="Z345" s="46">
        <f>IFERROR(--AND(tblHistory[[#This Row],[Score]]&gt;=70,tblHistory[[#This Row],[SOX S]]&gt;=0.83,tblHistory[[#This Row],[AIQ S]]&gt;=0.8),0)</f>
        <v/>
      </c>
      <c r="AA34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6">
      <c r="A346" s="42" t="n">
        <v>45825</v>
      </c>
      <c r="B346" s="43" t="n">
        <v>21719.0801</v>
      </c>
      <c r="C346" s="43" t="n">
        <v>5223.6499</v>
      </c>
      <c r="D346" s="43" t="n">
        <v>41.8461</v>
      </c>
      <c r="E346" s="43" t="n">
        <v>17.854</v>
      </c>
      <c r="F346" s="44" t="n">
        <v>110</v>
      </c>
      <c r="G346" s="44" t="n">
        <v>911</v>
      </c>
      <c r="H346" s="43" t="n">
        <v>13.4121</v>
      </c>
      <c r="I346" s="43" t="n">
        <v>19.057</v>
      </c>
      <c r="J346" s="44" t="n">
        <v>317</v>
      </c>
      <c r="K34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6" s="46">
        <f>(Dashboard!$C$13*tblHistory[[#This Row],[NDX S]]+Dashboard!$C$14*tblHistory[[#This Row],[SOX S]]+Dashboard!$C$15*tblHistory[[#This Row],[AIQ S]])/(Dashboard!$C$13+Dashboard!$C$14+Dashboard!$C$15)*100</f>
        <v/>
      </c>
      <c r="U346" s="46">
        <f>(Dashboard!$C$16*tblHistory[[#This Row],[DTCR S]]+Dashboard!$C$17*tblHistory[[#This Row],[BBB S]]+Dashboard!$C$18*tblHistory[[#This Row],[CCC S]])/(Dashboard!$C$16+Dashboard!$C$17+Dashboard!$C$18)*100</f>
        <v/>
      </c>
      <c r="V346" s="46">
        <f>(Dashboard!$C$19*tblHistory[[#This Row],[BIZD S]]+Dashboard!$C$20*tblHistory[[#This Row],[BKLN S]]+Dashboard!$C$21*tblHistory[[#This Row],[HY S]])/(Dashboard!$C$19+Dashboard!$C$20+Dashboard!$C$21)*100</f>
        <v/>
      </c>
      <c r="W34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6" s="46">
        <f>IFERROR(--(tblHistory[[#This Row],[Score]]&gt;=50),0)</f>
        <v/>
      </c>
      <c r="Y346" s="46">
        <f>IFERROR(--AND(tblHistory[[#This Row],[Score]]&gt;=60,OR(AND(tblHistory[[#This Row],[BIZD S]]&gt;=0.8,tblHistory[[#This Row],[BKLN S]]&gt;=0.5),tblHistory[[#This Row],[CCC S]]&gt;=0.8)),0)</f>
        <v/>
      </c>
      <c r="Z346" s="46">
        <f>IFERROR(--AND(tblHistory[[#This Row],[Score]]&gt;=70,tblHistory[[#This Row],[SOX S]]&gt;=0.83,tblHistory[[#This Row],[AIQ S]]&gt;=0.8),0)</f>
        <v/>
      </c>
      <c r="AA34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7">
      <c r="A347" s="42" t="n">
        <v>45824</v>
      </c>
      <c r="B347" s="43" t="n">
        <v>21937.5703</v>
      </c>
      <c r="C347" s="43" t="n">
        <v>5267.2998</v>
      </c>
      <c r="D347" s="43" t="n">
        <v>42.2354</v>
      </c>
      <c r="E347" s="43" t="n">
        <v>18.0116</v>
      </c>
      <c r="F347" s="44" t="n">
        <v>108</v>
      </c>
      <c r="G347" s="44" t="n">
        <v>904</v>
      </c>
      <c r="H347" s="43" t="n">
        <v>13.4793</v>
      </c>
      <c r="I347" s="43" t="n">
        <v>19.057</v>
      </c>
      <c r="J347" s="44" t="n">
        <v>310</v>
      </c>
      <c r="K34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7" s="46">
        <f>(Dashboard!$C$13*tblHistory[[#This Row],[NDX S]]+Dashboard!$C$14*tblHistory[[#This Row],[SOX S]]+Dashboard!$C$15*tblHistory[[#This Row],[AIQ S]])/(Dashboard!$C$13+Dashboard!$C$14+Dashboard!$C$15)*100</f>
        <v/>
      </c>
      <c r="U347" s="46">
        <f>(Dashboard!$C$16*tblHistory[[#This Row],[DTCR S]]+Dashboard!$C$17*tblHistory[[#This Row],[BBB S]]+Dashboard!$C$18*tblHistory[[#This Row],[CCC S]])/(Dashboard!$C$16+Dashboard!$C$17+Dashboard!$C$18)*100</f>
        <v/>
      </c>
      <c r="V347" s="46">
        <f>(Dashboard!$C$19*tblHistory[[#This Row],[BIZD S]]+Dashboard!$C$20*tblHistory[[#This Row],[BKLN S]]+Dashboard!$C$21*tblHistory[[#This Row],[HY S]])/(Dashboard!$C$19+Dashboard!$C$20+Dashboard!$C$21)*100</f>
        <v/>
      </c>
      <c r="W34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7" s="46">
        <f>IFERROR(--(tblHistory[[#This Row],[Score]]&gt;=50),0)</f>
        <v/>
      </c>
      <c r="Y347" s="46">
        <f>IFERROR(--AND(tblHistory[[#This Row],[Score]]&gt;=60,OR(AND(tblHistory[[#This Row],[BIZD S]]&gt;=0.8,tblHistory[[#This Row],[BKLN S]]&gt;=0.5),tblHistory[[#This Row],[CCC S]]&gt;=0.8)),0)</f>
        <v/>
      </c>
      <c r="Z347" s="46">
        <f>IFERROR(--AND(tblHistory[[#This Row],[Score]]&gt;=70,tblHistory[[#This Row],[SOX S]]&gt;=0.83,tblHistory[[#This Row],[AIQ S]]&gt;=0.8),0)</f>
        <v/>
      </c>
      <c r="AA34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8">
      <c r="A348" s="42" t="n">
        <v>45821</v>
      </c>
      <c r="B348" s="43" t="n">
        <v>21631.0391</v>
      </c>
      <c r="C348" s="43" t="n">
        <v>5112.2402</v>
      </c>
      <c r="D348" s="43" t="n">
        <v>41.5168</v>
      </c>
      <c r="E348" s="43" t="n">
        <v>17.6373</v>
      </c>
      <c r="F348" s="44" t="n">
        <v>110</v>
      </c>
      <c r="G348" s="44" t="n">
        <v>927</v>
      </c>
      <c r="H348" s="43" t="n">
        <v>13.5381</v>
      </c>
      <c r="I348" s="43" t="n">
        <v>19.0388</v>
      </c>
      <c r="J348" s="44" t="n">
        <v>318</v>
      </c>
      <c r="K34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8" s="46">
        <f>(Dashboard!$C$13*tblHistory[[#This Row],[NDX S]]+Dashboard!$C$14*tblHistory[[#This Row],[SOX S]]+Dashboard!$C$15*tblHistory[[#This Row],[AIQ S]])/(Dashboard!$C$13+Dashboard!$C$14+Dashboard!$C$15)*100</f>
        <v/>
      </c>
      <c r="U348" s="46">
        <f>(Dashboard!$C$16*tblHistory[[#This Row],[DTCR S]]+Dashboard!$C$17*tblHistory[[#This Row],[BBB S]]+Dashboard!$C$18*tblHistory[[#This Row],[CCC S]])/(Dashboard!$C$16+Dashboard!$C$17+Dashboard!$C$18)*100</f>
        <v/>
      </c>
      <c r="V348" s="46">
        <f>(Dashboard!$C$19*tblHistory[[#This Row],[BIZD S]]+Dashboard!$C$20*tblHistory[[#This Row],[BKLN S]]+Dashboard!$C$21*tblHistory[[#This Row],[HY S]])/(Dashboard!$C$19+Dashboard!$C$20+Dashboard!$C$21)*100</f>
        <v/>
      </c>
      <c r="W34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8" s="46">
        <f>IFERROR(--(tblHistory[[#This Row],[Score]]&gt;=50),0)</f>
        <v/>
      </c>
      <c r="Y348" s="46">
        <f>IFERROR(--AND(tblHistory[[#This Row],[Score]]&gt;=60,OR(AND(tblHistory[[#This Row],[BIZD S]]&gt;=0.8,tblHistory[[#This Row],[BKLN S]]&gt;=0.5),tblHistory[[#This Row],[CCC S]]&gt;=0.8)),0)</f>
        <v/>
      </c>
      <c r="Z348" s="46">
        <f>IFERROR(--AND(tblHistory[[#This Row],[Score]]&gt;=70,tblHistory[[#This Row],[SOX S]]&gt;=0.83,tblHistory[[#This Row],[AIQ S]]&gt;=0.8),0)</f>
        <v/>
      </c>
      <c r="AA34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49">
      <c r="A349" s="42" t="n">
        <v>45820</v>
      </c>
      <c r="B349" s="43" t="n">
        <v>21913.3203</v>
      </c>
      <c r="C349" s="43" t="n">
        <v>5249.1499</v>
      </c>
      <c r="D349" s="43" t="n">
        <v>42.1056</v>
      </c>
      <c r="E349" s="43" t="n">
        <v>18.0214</v>
      </c>
      <c r="F349" s="44" t="n">
        <v>110</v>
      </c>
      <c r="G349" s="44" t="n">
        <v>923</v>
      </c>
      <c r="H349" s="43" t="n">
        <v>13.6473</v>
      </c>
      <c r="I349" s="43" t="n">
        <v>19.0752</v>
      </c>
      <c r="J349" s="44" t="n">
        <v>317</v>
      </c>
      <c r="K34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4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4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4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4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4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4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4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4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49" s="46">
        <f>(Dashboard!$C$13*tblHistory[[#This Row],[NDX S]]+Dashboard!$C$14*tblHistory[[#This Row],[SOX S]]+Dashboard!$C$15*tblHistory[[#This Row],[AIQ S]])/(Dashboard!$C$13+Dashboard!$C$14+Dashboard!$C$15)*100</f>
        <v/>
      </c>
      <c r="U349" s="46">
        <f>(Dashboard!$C$16*tblHistory[[#This Row],[DTCR S]]+Dashboard!$C$17*tblHistory[[#This Row],[BBB S]]+Dashboard!$C$18*tblHistory[[#This Row],[CCC S]])/(Dashboard!$C$16+Dashboard!$C$17+Dashboard!$C$18)*100</f>
        <v/>
      </c>
      <c r="V349" s="46">
        <f>(Dashboard!$C$19*tblHistory[[#This Row],[BIZD S]]+Dashboard!$C$20*tblHistory[[#This Row],[BKLN S]]+Dashboard!$C$21*tblHistory[[#This Row],[HY S]])/(Dashboard!$C$19+Dashboard!$C$20+Dashboard!$C$21)*100</f>
        <v/>
      </c>
      <c r="W34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49" s="46">
        <f>IFERROR(--(tblHistory[[#This Row],[Score]]&gt;=50),0)</f>
        <v/>
      </c>
      <c r="Y349" s="46">
        <f>IFERROR(--AND(tblHistory[[#This Row],[Score]]&gt;=60,OR(AND(tblHistory[[#This Row],[BIZD S]]&gt;=0.8,tblHistory[[#This Row],[BKLN S]]&gt;=0.5),tblHistory[[#This Row],[CCC S]]&gt;=0.8)),0)</f>
        <v/>
      </c>
      <c r="Z349" s="46">
        <f>IFERROR(--AND(tblHistory[[#This Row],[Score]]&gt;=70,tblHistory[[#This Row],[SOX S]]&gt;=0.83,tblHistory[[#This Row],[AIQ S]]&gt;=0.8),0)</f>
        <v/>
      </c>
      <c r="AA34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4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4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4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4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0">
      <c r="A350" s="42" t="n">
        <v>45819</v>
      </c>
      <c r="B350" s="43" t="n">
        <v>21860.8008</v>
      </c>
      <c r="C350" s="43" t="n">
        <v>5232.5298</v>
      </c>
      <c r="D350" s="43" t="n">
        <v>42.0258</v>
      </c>
      <c r="E350" s="43" t="n">
        <v>17.9328</v>
      </c>
      <c r="F350" s="44" t="n">
        <v>109</v>
      </c>
      <c r="G350" s="44" t="n">
        <v>926</v>
      </c>
      <c r="H350" s="43" t="n">
        <v>13.6221</v>
      </c>
      <c r="I350" s="43" t="n">
        <v>19.0661</v>
      </c>
      <c r="J350" s="44" t="n">
        <v>312</v>
      </c>
      <c r="K35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0" s="46">
        <f>(Dashboard!$C$13*tblHistory[[#This Row],[NDX S]]+Dashboard!$C$14*tblHistory[[#This Row],[SOX S]]+Dashboard!$C$15*tblHistory[[#This Row],[AIQ S]])/(Dashboard!$C$13+Dashboard!$C$14+Dashboard!$C$15)*100</f>
        <v/>
      </c>
      <c r="U350" s="46">
        <f>(Dashboard!$C$16*tblHistory[[#This Row],[DTCR S]]+Dashboard!$C$17*tblHistory[[#This Row],[BBB S]]+Dashboard!$C$18*tblHistory[[#This Row],[CCC S]])/(Dashboard!$C$16+Dashboard!$C$17+Dashboard!$C$18)*100</f>
        <v/>
      </c>
      <c r="V350" s="46">
        <f>(Dashboard!$C$19*tblHistory[[#This Row],[BIZD S]]+Dashboard!$C$20*tblHistory[[#This Row],[BKLN S]]+Dashboard!$C$21*tblHistory[[#This Row],[HY S]])/(Dashboard!$C$19+Dashboard!$C$20+Dashboard!$C$21)*100</f>
        <v/>
      </c>
      <c r="W35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0" s="46">
        <f>IFERROR(--(tblHistory[[#This Row],[Score]]&gt;=50),0)</f>
        <v/>
      </c>
      <c r="Y350" s="46">
        <f>IFERROR(--AND(tblHistory[[#This Row],[Score]]&gt;=60,OR(AND(tblHistory[[#This Row],[BIZD S]]&gt;=0.8,tblHistory[[#This Row],[BKLN S]]&gt;=0.5),tblHistory[[#This Row],[CCC S]]&gt;=0.8)),0)</f>
        <v/>
      </c>
      <c r="Z350" s="46">
        <f>IFERROR(--AND(tblHistory[[#This Row],[Score]]&gt;=70,tblHistory[[#This Row],[SOX S]]&gt;=0.83,tblHistory[[#This Row],[AIQ S]]&gt;=0.8),0)</f>
        <v/>
      </c>
      <c r="AA35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1">
      <c r="A351" s="42" t="n">
        <v>45818</v>
      </c>
      <c r="B351" s="43" t="n">
        <v>21941.9199</v>
      </c>
      <c r="C351" s="43" t="n">
        <v>5242.5</v>
      </c>
      <c r="D351" s="43" t="n">
        <v>41.9958</v>
      </c>
      <c r="E351" s="43" t="n">
        <v>17.9722</v>
      </c>
      <c r="F351" s="44" t="n">
        <v>109</v>
      </c>
      <c r="G351" s="44" t="n">
        <v>930</v>
      </c>
      <c r="H351" s="43" t="n">
        <v>13.6725</v>
      </c>
      <c r="I351" s="43" t="n">
        <v>19.0661</v>
      </c>
      <c r="J351" s="44" t="n">
        <v>312</v>
      </c>
      <c r="K35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1" s="46">
        <f>(Dashboard!$C$13*tblHistory[[#This Row],[NDX S]]+Dashboard!$C$14*tblHistory[[#This Row],[SOX S]]+Dashboard!$C$15*tblHistory[[#This Row],[AIQ S]])/(Dashboard!$C$13+Dashboard!$C$14+Dashboard!$C$15)*100</f>
        <v/>
      </c>
      <c r="U351" s="46">
        <f>(Dashboard!$C$16*tblHistory[[#This Row],[DTCR S]]+Dashboard!$C$17*tblHistory[[#This Row],[BBB S]]+Dashboard!$C$18*tblHistory[[#This Row],[CCC S]])/(Dashboard!$C$16+Dashboard!$C$17+Dashboard!$C$18)*100</f>
        <v/>
      </c>
      <c r="V351" s="46">
        <f>(Dashboard!$C$19*tblHistory[[#This Row],[BIZD S]]+Dashboard!$C$20*tblHistory[[#This Row],[BKLN S]]+Dashboard!$C$21*tblHistory[[#This Row],[HY S]])/(Dashboard!$C$19+Dashboard!$C$20+Dashboard!$C$21)*100</f>
        <v/>
      </c>
      <c r="W35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1" s="46">
        <f>IFERROR(--(tblHistory[[#This Row],[Score]]&gt;=50),0)</f>
        <v/>
      </c>
      <c r="Y351" s="46">
        <f>IFERROR(--AND(tblHistory[[#This Row],[Score]]&gt;=60,OR(AND(tblHistory[[#This Row],[BIZD S]]&gt;=0.8,tblHistory[[#This Row],[BKLN S]]&gt;=0.5),tblHistory[[#This Row],[CCC S]]&gt;=0.8)),0)</f>
        <v/>
      </c>
      <c r="Z351" s="46">
        <f>IFERROR(--AND(tblHistory[[#This Row],[Score]]&gt;=70,tblHistory[[#This Row],[SOX S]]&gt;=0.83,tblHistory[[#This Row],[AIQ S]]&gt;=0.8),0)</f>
        <v/>
      </c>
      <c r="AA35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2">
      <c r="A352" s="42" t="n">
        <v>45817</v>
      </c>
      <c r="B352" s="43" t="n">
        <v>21797.8691</v>
      </c>
      <c r="C352" s="43" t="n">
        <v>5136.6602</v>
      </c>
      <c r="D352" s="43" t="n">
        <v>41.8162</v>
      </c>
      <c r="E352" s="43" t="n">
        <v>17.8245</v>
      </c>
      <c r="F352" s="44" t="n">
        <v>109</v>
      </c>
      <c r="G352" s="44" t="n">
        <v>923</v>
      </c>
      <c r="H352" s="43" t="n">
        <v>13.6221</v>
      </c>
      <c r="I352" s="43" t="n">
        <v>19.0752</v>
      </c>
      <c r="J352" s="44" t="n">
        <v>312</v>
      </c>
      <c r="K35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2" s="46">
        <f>(Dashboard!$C$13*tblHistory[[#This Row],[NDX S]]+Dashboard!$C$14*tblHistory[[#This Row],[SOX S]]+Dashboard!$C$15*tblHistory[[#This Row],[AIQ S]])/(Dashboard!$C$13+Dashboard!$C$14+Dashboard!$C$15)*100</f>
        <v/>
      </c>
      <c r="U352" s="46">
        <f>(Dashboard!$C$16*tblHistory[[#This Row],[DTCR S]]+Dashboard!$C$17*tblHistory[[#This Row],[BBB S]]+Dashboard!$C$18*tblHistory[[#This Row],[CCC S]])/(Dashboard!$C$16+Dashboard!$C$17+Dashboard!$C$18)*100</f>
        <v/>
      </c>
      <c r="V352" s="46">
        <f>(Dashboard!$C$19*tblHistory[[#This Row],[BIZD S]]+Dashboard!$C$20*tblHistory[[#This Row],[BKLN S]]+Dashboard!$C$21*tblHistory[[#This Row],[HY S]])/(Dashboard!$C$19+Dashboard!$C$20+Dashboard!$C$21)*100</f>
        <v/>
      </c>
      <c r="W35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2" s="46">
        <f>IFERROR(--(tblHistory[[#This Row],[Score]]&gt;=50),0)</f>
        <v/>
      </c>
      <c r="Y352" s="46">
        <f>IFERROR(--AND(tblHistory[[#This Row],[Score]]&gt;=60,OR(AND(tblHistory[[#This Row],[BIZD S]]&gt;=0.8,tblHistory[[#This Row],[BKLN S]]&gt;=0.5),tblHistory[[#This Row],[CCC S]]&gt;=0.8)),0)</f>
        <v/>
      </c>
      <c r="Z352" s="46">
        <f>IFERROR(--AND(tblHistory[[#This Row],[Score]]&gt;=70,tblHistory[[#This Row],[SOX S]]&gt;=0.83,tblHistory[[#This Row],[AIQ S]]&gt;=0.8),0)</f>
        <v/>
      </c>
      <c r="AA35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3">
      <c r="A353" s="42" t="n">
        <v>45814</v>
      </c>
      <c r="B353" s="43" t="n">
        <v>21761.7891</v>
      </c>
      <c r="C353" s="43" t="n">
        <v>5038.0601</v>
      </c>
      <c r="D353" s="43" t="n">
        <v>41.5368</v>
      </c>
      <c r="E353" s="43" t="n">
        <v>17.7752</v>
      </c>
      <c r="F353" s="44" t="n">
        <v>110</v>
      </c>
      <c r="G353" s="44" t="n">
        <v>915</v>
      </c>
      <c r="H353" s="43" t="n">
        <v>13.5801</v>
      </c>
      <c r="I353" s="43" t="n">
        <v>19.0752</v>
      </c>
      <c r="J353" s="44" t="n">
        <v>309</v>
      </c>
      <c r="K35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3" s="46">
        <f>(Dashboard!$C$13*tblHistory[[#This Row],[NDX S]]+Dashboard!$C$14*tblHistory[[#This Row],[SOX S]]+Dashboard!$C$15*tblHistory[[#This Row],[AIQ S]])/(Dashboard!$C$13+Dashboard!$C$14+Dashboard!$C$15)*100</f>
        <v/>
      </c>
      <c r="U353" s="46">
        <f>(Dashboard!$C$16*tblHistory[[#This Row],[DTCR S]]+Dashboard!$C$17*tblHistory[[#This Row],[BBB S]]+Dashboard!$C$18*tblHistory[[#This Row],[CCC S]])/(Dashboard!$C$16+Dashboard!$C$17+Dashboard!$C$18)*100</f>
        <v/>
      </c>
      <c r="V353" s="46">
        <f>(Dashboard!$C$19*tblHistory[[#This Row],[BIZD S]]+Dashboard!$C$20*tblHistory[[#This Row],[BKLN S]]+Dashboard!$C$21*tblHistory[[#This Row],[HY S]])/(Dashboard!$C$19+Dashboard!$C$20+Dashboard!$C$21)*100</f>
        <v/>
      </c>
      <c r="W35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3" s="46">
        <f>IFERROR(--(tblHistory[[#This Row],[Score]]&gt;=50),0)</f>
        <v/>
      </c>
      <c r="Y353" s="46">
        <f>IFERROR(--AND(tblHistory[[#This Row],[Score]]&gt;=60,OR(AND(tblHistory[[#This Row],[BIZD S]]&gt;=0.8,tblHistory[[#This Row],[BKLN S]]&gt;=0.5),tblHistory[[#This Row],[CCC S]]&gt;=0.8)),0)</f>
        <v/>
      </c>
      <c r="Z353" s="46">
        <f>IFERROR(--AND(tblHistory[[#This Row],[Score]]&gt;=70,tblHistory[[#This Row],[SOX S]]&gt;=0.83,tblHistory[[#This Row],[AIQ S]]&gt;=0.8),0)</f>
        <v/>
      </c>
      <c r="AA35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4">
      <c r="A354" s="42" t="n">
        <v>45813</v>
      </c>
      <c r="B354" s="43" t="n">
        <v>21547.4297</v>
      </c>
      <c r="C354" s="43" t="n">
        <v>5010.9199</v>
      </c>
      <c r="D354" s="43" t="n">
        <v>41.1176</v>
      </c>
      <c r="E354" s="43" t="n">
        <v>17.7457</v>
      </c>
      <c r="F354" s="44" t="n">
        <v>112</v>
      </c>
      <c r="G354" s="44" t="n">
        <v>929</v>
      </c>
      <c r="H354" s="43" t="n">
        <v>13.4289</v>
      </c>
      <c r="I354" s="43" t="n">
        <v>19.0205</v>
      </c>
      <c r="J354" s="44" t="n">
        <v>318</v>
      </c>
      <c r="K35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4" s="46">
        <f>(Dashboard!$C$13*tblHistory[[#This Row],[NDX S]]+Dashboard!$C$14*tblHistory[[#This Row],[SOX S]]+Dashboard!$C$15*tblHistory[[#This Row],[AIQ S]])/(Dashboard!$C$13+Dashboard!$C$14+Dashboard!$C$15)*100</f>
        <v/>
      </c>
      <c r="U354" s="46">
        <f>(Dashboard!$C$16*tblHistory[[#This Row],[DTCR S]]+Dashboard!$C$17*tblHistory[[#This Row],[BBB S]]+Dashboard!$C$18*tblHistory[[#This Row],[CCC S]])/(Dashboard!$C$16+Dashboard!$C$17+Dashboard!$C$18)*100</f>
        <v/>
      </c>
      <c r="V354" s="46">
        <f>(Dashboard!$C$19*tblHistory[[#This Row],[BIZD S]]+Dashboard!$C$20*tblHistory[[#This Row],[BKLN S]]+Dashboard!$C$21*tblHistory[[#This Row],[HY S]])/(Dashboard!$C$19+Dashboard!$C$20+Dashboard!$C$21)*100</f>
        <v/>
      </c>
      <c r="W35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4" s="46">
        <f>IFERROR(--(tblHistory[[#This Row],[Score]]&gt;=50),0)</f>
        <v/>
      </c>
      <c r="Y354" s="46">
        <f>IFERROR(--AND(tblHistory[[#This Row],[Score]]&gt;=60,OR(AND(tblHistory[[#This Row],[BIZD S]]&gt;=0.8,tblHistory[[#This Row],[BKLN S]]&gt;=0.5),tblHistory[[#This Row],[CCC S]]&gt;=0.8)),0)</f>
        <v/>
      </c>
      <c r="Z354" s="46">
        <f>IFERROR(--AND(tblHistory[[#This Row],[Score]]&gt;=70,tblHistory[[#This Row],[SOX S]]&gt;=0.83,tblHistory[[#This Row],[AIQ S]]&gt;=0.8),0)</f>
        <v/>
      </c>
      <c r="AA35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5">
      <c r="A355" s="42" t="n">
        <v>45812</v>
      </c>
      <c r="B355" s="43" t="n">
        <v>21721.9199</v>
      </c>
      <c r="C355" s="43" t="n">
        <v>5033.3501</v>
      </c>
      <c r="D355" s="43" t="n">
        <v>41.2673</v>
      </c>
      <c r="E355" s="43" t="n">
        <v>17.726</v>
      </c>
      <c r="F355" s="44" t="n">
        <v>112</v>
      </c>
      <c r="G355" s="44" t="n">
        <v>930</v>
      </c>
      <c r="H355" s="43" t="n">
        <v>13.4709</v>
      </c>
      <c r="I355" s="43" t="n">
        <v>19.0479</v>
      </c>
      <c r="J355" s="44" t="n">
        <v>323</v>
      </c>
      <c r="K35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5" s="46">
        <f>(Dashboard!$C$13*tblHistory[[#This Row],[NDX S]]+Dashboard!$C$14*tblHistory[[#This Row],[SOX S]]+Dashboard!$C$15*tblHistory[[#This Row],[AIQ S]])/(Dashboard!$C$13+Dashboard!$C$14+Dashboard!$C$15)*100</f>
        <v/>
      </c>
      <c r="U355" s="46">
        <f>(Dashboard!$C$16*tblHistory[[#This Row],[DTCR S]]+Dashboard!$C$17*tblHistory[[#This Row],[BBB S]]+Dashboard!$C$18*tblHistory[[#This Row],[CCC S]])/(Dashboard!$C$16+Dashboard!$C$17+Dashboard!$C$18)*100</f>
        <v/>
      </c>
      <c r="V355" s="46">
        <f>(Dashboard!$C$19*tblHistory[[#This Row],[BIZD S]]+Dashboard!$C$20*tblHistory[[#This Row],[BKLN S]]+Dashboard!$C$21*tblHistory[[#This Row],[HY S]])/(Dashboard!$C$19+Dashboard!$C$20+Dashboard!$C$21)*100</f>
        <v/>
      </c>
      <c r="W35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5" s="46">
        <f>IFERROR(--(tblHistory[[#This Row],[Score]]&gt;=50),0)</f>
        <v/>
      </c>
      <c r="Y355" s="46">
        <f>IFERROR(--AND(tblHistory[[#This Row],[Score]]&gt;=60,OR(AND(tblHistory[[#This Row],[BIZD S]]&gt;=0.8,tblHistory[[#This Row],[BKLN S]]&gt;=0.5),tblHistory[[#This Row],[CCC S]]&gt;=0.8)),0)</f>
        <v/>
      </c>
      <c r="Z355" s="46">
        <f>IFERROR(--AND(tblHistory[[#This Row],[Score]]&gt;=70,tblHistory[[#This Row],[SOX S]]&gt;=0.83,tblHistory[[#This Row],[AIQ S]]&gt;=0.8),0)</f>
        <v/>
      </c>
      <c r="AA35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6">
      <c r="A356" s="42" t="n">
        <v>45811</v>
      </c>
      <c r="B356" s="43" t="n">
        <v>21662.5801</v>
      </c>
      <c r="C356" s="43" t="n">
        <v>4964.4102</v>
      </c>
      <c r="D356" s="43" t="n">
        <v>40.8781</v>
      </c>
      <c r="E356" s="43" t="n">
        <v>17.3616</v>
      </c>
      <c r="F356" s="44" t="n">
        <v>112</v>
      </c>
      <c r="G356" s="44" t="n">
        <v>916</v>
      </c>
      <c r="H356" s="43" t="n">
        <v>13.5213</v>
      </c>
      <c r="I356" s="43" t="n">
        <v>19.0388</v>
      </c>
      <c r="J356" s="44" t="n">
        <v>319</v>
      </c>
      <c r="K35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6" s="46">
        <f>(Dashboard!$C$13*tblHistory[[#This Row],[NDX S]]+Dashboard!$C$14*tblHistory[[#This Row],[SOX S]]+Dashboard!$C$15*tblHistory[[#This Row],[AIQ S]])/(Dashboard!$C$13+Dashboard!$C$14+Dashboard!$C$15)*100</f>
        <v/>
      </c>
      <c r="U356" s="46">
        <f>(Dashboard!$C$16*tblHistory[[#This Row],[DTCR S]]+Dashboard!$C$17*tblHistory[[#This Row],[BBB S]]+Dashboard!$C$18*tblHistory[[#This Row],[CCC S]])/(Dashboard!$C$16+Dashboard!$C$17+Dashboard!$C$18)*100</f>
        <v/>
      </c>
      <c r="V356" s="46">
        <f>(Dashboard!$C$19*tblHistory[[#This Row],[BIZD S]]+Dashboard!$C$20*tblHistory[[#This Row],[BKLN S]]+Dashboard!$C$21*tblHistory[[#This Row],[HY S]])/(Dashboard!$C$19+Dashboard!$C$20+Dashboard!$C$21)*100</f>
        <v/>
      </c>
      <c r="W35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6" s="46">
        <f>IFERROR(--(tblHistory[[#This Row],[Score]]&gt;=50),0)</f>
        <v/>
      </c>
      <c r="Y356" s="46">
        <f>IFERROR(--AND(tblHistory[[#This Row],[Score]]&gt;=60,OR(AND(tblHistory[[#This Row],[BIZD S]]&gt;=0.8,tblHistory[[#This Row],[BKLN S]]&gt;=0.5),tblHistory[[#This Row],[CCC S]]&gt;=0.8)),0)</f>
        <v/>
      </c>
      <c r="Z356" s="46">
        <f>IFERROR(--AND(tblHistory[[#This Row],[Score]]&gt;=70,tblHistory[[#This Row],[SOX S]]&gt;=0.83,tblHistory[[#This Row],[AIQ S]]&gt;=0.8),0)</f>
        <v/>
      </c>
      <c r="AA35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7">
      <c r="A357" s="42" t="n">
        <v>45810</v>
      </c>
      <c r="B357" s="43" t="n">
        <v>21491.75</v>
      </c>
      <c r="C357" s="43" t="n">
        <v>4832.79</v>
      </c>
      <c r="D357" s="43" t="n">
        <v>40.6485</v>
      </c>
      <c r="E357" s="43" t="n">
        <v>17.273</v>
      </c>
      <c r="F357" s="44" t="n">
        <v>115</v>
      </c>
      <c r="G357" s="44" t="n">
        <v>922</v>
      </c>
      <c r="H357" s="43" t="n">
        <v>13.4373</v>
      </c>
      <c r="I357" s="43" t="n">
        <v>19.0205</v>
      </c>
      <c r="J357" s="44" t="n">
        <v>327</v>
      </c>
      <c r="K35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7" s="46">
        <f>(Dashboard!$C$13*tblHistory[[#This Row],[NDX S]]+Dashboard!$C$14*tblHistory[[#This Row],[SOX S]]+Dashboard!$C$15*tblHistory[[#This Row],[AIQ S]])/(Dashboard!$C$13+Dashboard!$C$14+Dashboard!$C$15)*100</f>
        <v/>
      </c>
      <c r="U357" s="46">
        <f>(Dashboard!$C$16*tblHistory[[#This Row],[DTCR S]]+Dashboard!$C$17*tblHistory[[#This Row],[BBB S]]+Dashboard!$C$18*tblHistory[[#This Row],[CCC S]])/(Dashboard!$C$16+Dashboard!$C$17+Dashboard!$C$18)*100</f>
        <v/>
      </c>
      <c r="V357" s="46">
        <f>(Dashboard!$C$19*tblHistory[[#This Row],[BIZD S]]+Dashboard!$C$20*tblHistory[[#This Row],[BKLN S]]+Dashboard!$C$21*tblHistory[[#This Row],[HY S]])/(Dashboard!$C$19+Dashboard!$C$20+Dashboard!$C$21)*100</f>
        <v/>
      </c>
      <c r="W35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7" s="46">
        <f>IFERROR(--(tblHistory[[#This Row],[Score]]&gt;=50),0)</f>
        <v/>
      </c>
      <c r="Y357" s="46">
        <f>IFERROR(--AND(tblHistory[[#This Row],[Score]]&gt;=60,OR(AND(tblHistory[[#This Row],[BIZD S]]&gt;=0.8,tblHistory[[#This Row],[BKLN S]]&gt;=0.5),tblHistory[[#This Row],[CCC S]]&gt;=0.8)),0)</f>
        <v/>
      </c>
      <c r="Z357" s="46">
        <f>IFERROR(--AND(tblHistory[[#This Row],[Score]]&gt;=70,tblHistory[[#This Row],[SOX S]]&gt;=0.83,tblHistory[[#This Row],[AIQ S]]&gt;=0.8),0)</f>
        <v/>
      </c>
      <c r="AA35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8">
      <c r="A358" s="42" t="n">
        <v>45807</v>
      </c>
      <c r="B358" s="43" t="n">
        <v>21340.9902</v>
      </c>
      <c r="C358" s="43" t="n">
        <v>4758.0601</v>
      </c>
      <c r="D358" s="43" t="n">
        <v>40.2194</v>
      </c>
      <c r="E358" s="43" t="n">
        <v>16.9578</v>
      </c>
      <c r="F358" s="44" t="n">
        <v>115</v>
      </c>
      <c r="G358" s="44" t="n">
        <v>896</v>
      </c>
      <c r="H358" s="43" t="n">
        <v>13.5549</v>
      </c>
      <c r="I358" s="43" t="n">
        <v>19.0205</v>
      </c>
      <c r="J358" s="44" t="n">
        <v>331</v>
      </c>
      <c r="K35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8" s="46">
        <f>(Dashboard!$C$13*tblHistory[[#This Row],[NDX S]]+Dashboard!$C$14*tblHistory[[#This Row],[SOX S]]+Dashboard!$C$15*tblHistory[[#This Row],[AIQ S]])/(Dashboard!$C$13+Dashboard!$C$14+Dashboard!$C$15)*100</f>
        <v/>
      </c>
      <c r="U358" s="46">
        <f>(Dashboard!$C$16*tblHistory[[#This Row],[DTCR S]]+Dashboard!$C$17*tblHistory[[#This Row],[BBB S]]+Dashboard!$C$18*tblHistory[[#This Row],[CCC S]])/(Dashboard!$C$16+Dashboard!$C$17+Dashboard!$C$18)*100</f>
        <v/>
      </c>
      <c r="V358" s="46">
        <f>(Dashboard!$C$19*tblHistory[[#This Row],[BIZD S]]+Dashboard!$C$20*tblHistory[[#This Row],[BKLN S]]+Dashboard!$C$21*tblHistory[[#This Row],[HY S]])/(Dashboard!$C$19+Dashboard!$C$20+Dashboard!$C$21)*100</f>
        <v/>
      </c>
      <c r="W35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8" s="46">
        <f>IFERROR(--(tblHistory[[#This Row],[Score]]&gt;=50),0)</f>
        <v/>
      </c>
      <c r="Y358" s="46">
        <f>IFERROR(--AND(tblHistory[[#This Row],[Score]]&gt;=60,OR(AND(tblHistory[[#This Row],[BIZD S]]&gt;=0.8,tblHistory[[#This Row],[BKLN S]]&gt;=0.5),tblHistory[[#This Row],[CCC S]]&gt;=0.8)),0)</f>
        <v/>
      </c>
      <c r="Z358" s="46">
        <f>IFERROR(--AND(tblHistory[[#This Row],[Score]]&gt;=70,tblHistory[[#This Row],[SOX S]]&gt;=0.83,tblHistory[[#This Row],[AIQ S]]&gt;=0.8),0)</f>
        <v/>
      </c>
      <c r="AA35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59">
      <c r="A359" s="42" t="n">
        <v>45806</v>
      </c>
      <c r="B359" s="43" t="n">
        <v>21363.9492</v>
      </c>
      <c r="C359" s="43" t="n">
        <v>4860.48</v>
      </c>
      <c r="D359" s="43" t="n">
        <v>40.3691</v>
      </c>
      <c r="E359" s="43" t="n">
        <v>17.1351</v>
      </c>
      <c r="F359" s="44" t="n">
        <v>114</v>
      </c>
      <c r="G359" s="44" t="n">
        <v>884</v>
      </c>
      <c r="H359" s="43" t="n">
        <v>13.5381</v>
      </c>
      <c r="I359" s="43" t="n">
        <v>18.9932</v>
      </c>
      <c r="J359" s="44" t="n">
        <v>322</v>
      </c>
      <c r="K35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5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5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5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5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5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5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5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5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59" s="46">
        <f>(Dashboard!$C$13*tblHistory[[#This Row],[NDX S]]+Dashboard!$C$14*tblHistory[[#This Row],[SOX S]]+Dashboard!$C$15*tblHistory[[#This Row],[AIQ S]])/(Dashboard!$C$13+Dashboard!$C$14+Dashboard!$C$15)*100</f>
        <v/>
      </c>
      <c r="U359" s="46">
        <f>(Dashboard!$C$16*tblHistory[[#This Row],[DTCR S]]+Dashboard!$C$17*tblHistory[[#This Row],[BBB S]]+Dashboard!$C$18*tblHistory[[#This Row],[CCC S]])/(Dashboard!$C$16+Dashboard!$C$17+Dashboard!$C$18)*100</f>
        <v/>
      </c>
      <c r="V359" s="46">
        <f>(Dashboard!$C$19*tblHistory[[#This Row],[BIZD S]]+Dashboard!$C$20*tblHistory[[#This Row],[BKLN S]]+Dashboard!$C$21*tblHistory[[#This Row],[HY S]])/(Dashboard!$C$19+Dashboard!$C$20+Dashboard!$C$21)*100</f>
        <v/>
      </c>
      <c r="W35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59" s="46">
        <f>IFERROR(--(tblHistory[[#This Row],[Score]]&gt;=50),0)</f>
        <v/>
      </c>
      <c r="Y359" s="46">
        <f>IFERROR(--AND(tblHistory[[#This Row],[Score]]&gt;=60,OR(AND(tblHistory[[#This Row],[BIZD S]]&gt;=0.8,tblHistory[[#This Row],[BKLN S]]&gt;=0.5),tblHistory[[#This Row],[CCC S]]&gt;=0.8)),0)</f>
        <v/>
      </c>
      <c r="Z359" s="46">
        <f>IFERROR(--AND(tblHistory[[#This Row],[Score]]&gt;=70,tblHistory[[#This Row],[SOX S]]&gt;=0.83,tblHistory[[#This Row],[AIQ S]]&gt;=0.8),0)</f>
        <v/>
      </c>
      <c r="AA35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5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5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5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5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0">
      <c r="A360" s="42" t="n">
        <v>45805</v>
      </c>
      <c r="B360" s="43" t="n">
        <v>21318.1699</v>
      </c>
      <c r="C360" s="43" t="n">
        <v>4834.4199</v>
      </c>
      <c r="D360" s="43" t="n">
        <v>40.439</v>
      </c>
      <c r="E360" s="43" t="n">
        <v>17.0465</v>
      </c>
      <c r="F360" s="44" t="n">
        <v>114</v>
      </c>
      <c r="G360" s="44" t="n">
        <v>884</v>
      </c>
      <c r="H360" s="43" t="n">
        <v>13.5213</v>
      </c>
      <c r="I360" s="43" t="n">
        <v>18.984</v>
      </c>
      <c r="J360" s="44" t="n">
        <v>323</v>
      </c>
      <c r="K36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0" s="46">
        <f>(Dashboard!$C$13*tblHistory[[#This Row],[NDX S]]+Dashboard!$C$14*tblHistory[[#This Row],[SOX S]]+Dashboard!$C$15*tblHistory[[#This Row],[AIQ S]])/(Dashboard!$C$13+Dashboard!$C$14+Dashboard!$C$15)*100</f>
        <v/>
      </c>
      <c r="U360" s="46">
        <f>(Dashboard!$C$16*tblHistory[[#This Row],[DTCR S]]+Dashboard!$C$17*tblHistory[[#This Row],[BBB S]]+Dashboard!$C$18*tblHistory[[#This Row],[CCC S]])/(Dashboard!$C$16+Dashboard!$C$17+Dashboard!$C$18)*100</f>
        <v/>
      </c>
      <c r="V360" s="46">
        <f>(Dashboard!$C$19*tblHistory[[#This Row],[BIZD S]]+Dashboard!$C$20*tblHistory[[#This Row],[BKLN S]]+Dashboard!$C$21*tblHistory[[#This Row],[HY S]])/(Dashboard!$C$19+Dashboard!$C$20+Dashboard!$C$21)*100</f>
        <v/>
      </c>
      <c r="W36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0" s="46">
        <f>IFERROR(--(tblHistory[[#This Row],[Score]]&gt;=50),0)</f>
        <v/>
      </c>
      <c r="Y360" s="46">
        <f>IFERROR(--AND(tblHistory[[#This Row],[Score]]&gt;=60,OR(AND(tblHistory[[#This Row],[BIZD S]]&gt;=0.8,tblHistory[[#This Row],[BKLN S]]&gt;=0.5),tblHistory[[#This Row],[CCC S]]&gt;=0.8)),0)</f>
        <v/>
      </c>
      <c r="Z360" s="46">
        <f>IFERROR(--AND(tblHistory[[#This Row],[Score]]&gt;=70,tblHistory[[#This Row],[SOX S]]&gt;=0.83,tblHistory[[#This Row],[AIQ S]]&gt;=0.8),0)</f>
        <v/>
      </c>
      <c r="AA36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1">
      <c r="A361" s="42" t="n">
        <v>45804</v>
      </c>
      <c r="B361" s="43" t="n">
        <v>21414.9902</v>
      </c>
      <c r="C361" s="43" t="n">
        <v>4861.0898</v>
      </c>
      <c r="D361" s="43" t="n">
        <v>40.7084</v>
      </c>
      <c r="E361" s="43" t="n">
        <v>17.2434</v>
      </c>
      <c r="F361" s="44" t="n">
        <v>115</v>
      </c>
      <c r="G361" s="44" t="n">
        <v>892</v>
      </c>
      <c r="H361" s="43" t="n">
        <v>13.5213</v>
      </c>
      <c r="I361" s="43" t="n">
        <v>18.9658</v>
      </c>
      <c r="J361" s="44" t="n">
        <v>324</v>
      </c>
      <c r="K36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1" s="46">
        <f>(Dashboard!$C$13*tblHistory[[#This Row],[NDX S]]+Dashboard!$C$14*tblHistory[[#This Row],[SOX S]]+Dashboard!$C$15*tblHistory[[#This Row],[AIQ S]])/(Dashboard!$C$13+Dashboard!$C$14+Dashboard!$C$15)*100</f>
        <v/>
      </c>
      <c r="U361" s="46">
        <f>(Dashboard!$C$16*tblHistory[[#This Row],[DTCR S]]+Dashboard!$C$17*tblHistory[[#This Row],[BBB S]]+Dashboard!$C$18*tblHistory[[#This Row],[CCC S]])/(Dashboard!$C$16+Dashboard!$C$17+Dashboard!$C$18)*100</f>
        <v/>
      </c>
      <c r="V361" s="46">
        <f>(Dashboard!$C$19*tblHistory[[#This Row],[BIZD S]]+Dashboard!$C$20*tblHistory[[#This Row],[BKLN S]]+Dashboard!$C$21*tblHistory[[#This Row],[HY S]])/(Dashboard!$C$19+Dashboard!$C$20+Dashboard!$C$21)*100</f>
        <v/>
      </c>
      <c r="W36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1" s="46">
        <f>IFERROR(--(tblHistory[[#This Row],[Score]]&gt;=50),0)</f>
        <v/>
      </c>
      <c r="Y361" s="46">
        <f>IFERROR(--AND(tblHistory[[#This Row],[Score]]&gt;=60,OR(AND(tblHistory[[#This Row],[BIZD S]]&gt;=0.8,tblHistory[[#This Row],[BKLN S]]&gt;=0.5),tblHistory[[#This Row],[CCC S]]&gt;=0.8)),0)</f>
        <v/>
      </c>
      <c r="Z361" s="46">
        <f>IFERROR(--AND(tblHistory[[#This Row],[Score]]&gt;=70,tblHistory[[#This Row],[SOX S]]&gt;=0.83,tblHistory[[#This Row],[AIQ S]]&gt;=0.8),0)</f>
        <v/>
      </c>
      <c r="AA36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2">
      <c r="A362" s="42" t="n">
        <v>45800</v>
      </c>
      <c r="B362" s="43" t="n">
        <v>20915.6602</v>
      </c>
      <c r="C362" s="43" t="n">
        <v>4702.3799</v>
      </c>
      <c r="D362" s="43" t="n">
        <v>39.8701</v>
      </c>
      <c r="E362" s="43" t="n">
        <v>17.0465</v>
      </c>
      <c r="F362" s="44" t="n">
        <v>118</v>
      </c>
      <c r="G362" s="44" t="n">
        <v>914</v>
      </c>
      <c r="H362" s="43" t="n">
        <v>13.2862</v>
      </c>
      <c r="I362" s="43" t="n">
        <v>18.9476</v>
      </c>
      <c r="J362" s="44" t="n">
        <v>340</v>
      </c>
      <c r="K36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2" s="46">
        <f>(Dashboard!$C$13*tblHistory[[#This Row],[NDX S]]+Dashboard!$C$14*tblHistory[[#This Row],[SOX S]]+Dashboard!$C$15*tblHistory[[#This Row],[AIQ S]])/(Dashboard!$C$13+Dashboard!$C$14+Dashboard!$C$15)*100</f>
        <v/>
      </c>
      <c r="U362" s="46">
        <f>(Dashboard!$C$16*tblHistory[[#This Row],[DTCR S]]+Dashboard!$C$17*tblHistory[[#This Row],[BBB S]]+Dashboard!$C$18*tblHistory[[#This Row],[CCC S]])/(Dashboard!$C$16+Dashboard!$C$17+Dashboard!$C$18)*100</f>
        <v/>
      </c>
      <c r="V362" s="46">
        <f>(Dashboard!$C$19*tblHistory[[#This Row],[BIZD S]]+Dashboard!$C$20*tblHistory[[#This Row],[BKLN S]]+Dashboard!$C$21*tblHistory[[#This Row],[HY S]])/(Dashboard!$C$19+Dashboard!$C$20+Dashboard!$C$21)*100</f>
        <v/>
      </c>
      <c r="W36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2" s="46">
        <f>IFERROR(--(tblHistory[[#This Row],[Score]]&gt;=50),0)</f>
        <v/>
      </c>
      <c r="Y362" s="46">
        <f>IFERROR(--AND(tblHistory[[#This Row],[Score]]&gt;=60,OR(AND(tblHistory[[#This Row],[BIZD S]]&gt;=0.8,tblHistory[[#This Row],[BKLN S]]&gt;=0.5),tblHistory[[#This Row],[CCC S]]&gt;=0.8)),0)</f>
        <v/>
      </c>
      <c r="Z362" s="46">
        <f>IFERROR(--AND(tblHistory[[#This Row],[Score]]&gt;=70,tblHistory[[#This Row],[SOX S]]&gt;=0.83,tblHistory[[#This Row],[AIQ S]]&gt;=0.8),0)</f>
        <v/>
      </c>
      <c r="AA36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3">
      <c r="A363" s="42" t="n">
        <v>45799</v>
      </c>
      <c r="B363" s="43" t="n">
        <v>21112.4707</v>
      </c>
      <c r="C363" s="43" t="n">
        <v>4775.4702</v>
      </c>
      <c r="D363" s="43" t="n">
        <v>40.2194</v>
      </c>
      <c r="E363" s="43" t="n">
        <v>17.0662</v>
      </c>
      <c r="F363" s="44" t="n">
        <v>116</v>
      </c>
      <c r="G363" s="44" t="n">
        <v>902</v>
      </c>
      <c r="H363" s="43" t="n">
        <v>13.2274</v>
      </c>
      <c r="I363" s="43" t="n">
        <v>18.9567</v>
      </c>
      <c r="J363" s="44" t="n">
        <v>332</v>
      </c>
      <c r="K36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3" s="46">
        <f>(Dashboard!$C$13*tblHistory[[#This Row],[NDX S]]+Dashboard!$C$14*tblHistory[[#This Row],[SOX S]]+Dashboard!$C$15*tblHistory[[#This Row],[AIQ S]])/(Dashboard!$C$13+Dashboard!$C$14+Dashboard!$C$15)*100</f>
        <v/>
      </c>
      <c r="U363" s="46">
        <f>(Dashboard!$C$16*tblHistory[[#This Row],[DTCR S]]+Dashboard!$C$17*tblHistory[[#This Row],[BBB S]]+Dashboard!$C$18*tblHistory[[#This Row],[CCC S]])/(Dashboard!$C$16+Dashboard!$C$17+Dashboard!$C$18)*100</f>
        <v/>
      </c>
      <c r="V363" s="46">
        <f>(Dashboard!$C$19*tblHistory[[#This Row],[BIZD S]]+Dashboard!$C$20*tblHistory[[#This Row],[BKLN S]]+Dashboard!$C$21*tblHistory[[#This Row],[HY S]])/(Dashboard!$C$19+Dashboard!$C$20+Dashboard!$C$21)*100</f>
        <v/>
      </c>
      <c r="W36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3" s="46">
        <f>IFERROR(--(tblHistory[[#This Row],[Score]]&gt;=50),0)</f>
        <v/>
      </c>
      <c r="Y363" s="46">
        <f>IFERROR(--AND(tblHistory[[#This Row],[Score]]&gt;=60,OR(AND(tblHistory[[#This Row],[BIZD S]]&gt;=0.8,tblHistory[[#This Row],[BKLN S]]&gt;=0.5),tblHistory[[#This Row],[CCC S]]&gt;=0.8)),0)</f>
        <v/>
      </c>
      <c r="Z363" s="46">
        <f>IFERROR(--AND(tblHistory[[#This Row],[Score]]&gt;=70,tblHistory[[#This Row],[SOX S]]&gt;=0.83,tblHistory[[#This Row],[AIQ S]]&gt;=0.8),0)</f>
        <v/>
      </c>
      <c r="AA36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4">
      <c r="A364" s="42" t="n">
        <v>45798</v>
      </c>
      <c r="B364" s="43" t="n">
        <v>21080.3594</v>
      </c>
      <c r="C364" s="43" t="n">
        <v>4802.71</v>
      </c>
      <c r="D364" s="43" t="n">
        <v>40.1396</v>
      </c>
      <c r="E364" s="43" t="n">
        <v>17.1942</v>
      </c>
      <c r="F364" s="44" t="n">
        <v>115</v>
      </c>
      <c r="G364" s="44" t="n">
        <v>892</v>
      </c>
      <c r="H364" s="43" t="n">
        <v>13.2274</v>
      </c>
      <c r="I364" s="43" t="n">
        <v>18.9476</v>
      </c>
      <c r="J364" s="44" t="n">
        <v>325</v>
      </c>
      <c r="K36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4" s="46">
        <f>(Dashboard!$C$13*tblHistory[[#This Row],[NDX S]]+Dashboard!$C$14*tblHistory[[#This Row],[SOX S]]+Dashboard!$C$15*tblHistory[[#This Row],[AIQ S]])/(Dashboard!$C$13+Dashboard!$C$14+Dashboard!$C$15)*100</f>
        <v/>
      </c>
      <c r="U364" s="46">
        <f>(Dashboard!$C$16*tblHistory[[#This Row],[DTCR S]]+Dashboard!$C$17*tblHistory[[#This Row],[BBB S]]+Dashboard!$C$18*tblHistory[[#This Row],[CCC S]])/(Dashboard!$C$16+Dashboard!$C$17+Dashboard!$C$18)*100</f>
        <v/>
      </c>
      <c r="V364" s="46">
        <f>(Dashboard!$C$19*tblHistory[[#This Row],[BIZD S]]+Dashboard!$C$20*tblHistory[[#This Row],[BKLN S]]+Dashboard!$C$21*tblHistory[[#This Row],[HY S]])/(Dashboard!$C$19+Dashboard!$C$20+Dashboard!$C$21)*100</f>
        <v/>
      </c>
      <c r="W36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4" s="46">
        <f>IFERROR(--(tblHistory[[#This Row],[Score]]&gt;=50),0)</f>
        <v/>
      </c>
      <c r="Y364" s="46">
        <f>IFERROR(--AND(tblHistory[[#This Row],[Score]]&gt;=60,OR(AND(tblHistory[[#This Row],[BIZD S]]&gt;=0.8,tblHistory[[#This Row],[BKLN S]]&gt;=0.5),tblHistory[[#This Row],[CCC S]]&gt;=0.8)),0)</f>
        <v/>
      </c>
      <c r="Z364" s="46">
        <f>IFERROR(--AND(tblHistory[[#This Row],[Score]]&gt;=70,tblHistory[[#This Row],[SOX S]]&gt;=0.83,tblHistory[[#This Row],[AIQ S]]&gt;=0.8),0)</f>
        <v/>
      </c>
      <c r="AA36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5">
      <c r="A365" s="42" t="n">
        <v>45797</v>
      </c>
      <c r="B365" s="43" t="n">
        <v>21367.3691</v>
      </c>
      <c r="C365" s="43" t="n">
        <v>4890.7798</v>
      </c>
      <c r="D365" s="43" t="n">
        <v>40.6386</v>
      </c>
      <c r="E365" s="43" t="n">
        <v>17.3025</v>
      </c>
      <c r="F365" s="44" t="n">
        <v>115</v>
      </c>
      <c r="G365" s="44" t="n">
        <v>884</v>
      </c>
      <c r="H365" s="43" t="n">
        <v>13.5633</v>
      </c>
      <c r="I365" s="43" t="n">
        <v>18.9749</v>
      </c>
      <c r="J365" s="44" t="n">
        <v>320</v>
      </c>
      <c r="K36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5" s="46">
        <f>(Dashboard!$C$13*tblHistory[[#This Row],[NDX S]]+Dashboard!$C$14*tblHistory[[#This Row],[SOX S]]+Dashboard!$C$15*tblHistory[[#This Row],[AIQ S]])/(Dashboard!$C$13+Dashboard!$C$14+Dashboard!$C$15)*100</f>
        <v/>
      </c>
      <c r="U365" s="46">
        <f>(Dashboard!$C$16*tblHistory[[#This Row],[DTCR S]]+Dashboard!$C$17*tblHistory[[#This Row],[BBB S]]+Dashboard!$C$18*tblHistory[[#This Row],[CCC S]])/(Dashboard!$C$16+Dashboard!$C$17+Dashboard!$C$18)*100</f>
        <v/>
      </c>
      <c r="V365" s="46">
        <f>(Dashboard!$C$19*tblHistory[[#This Row],[BIZD S]]+Dashboard!$C$20*tblHistory[[#This Row],[BKLN S]]+Dashboard!$C$21*tblHistory[[#This Row],[HY S]])/(Dashboard!$C$19+Dashboard!$C$20+Dashboard!$C$21)*100</f>
        <v/>
      </c>
      <c r="W36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5" s="46">
        <f>IFERROR(--(tblHistory[[#This Row],[Score]]&gt;=50),0)</f>
        <v/>
      </c>
      <c r="Y365" s="46">
        <f>IFERROR(--AND(tblHistory[[#This Row],[Score]]&gt;=60,OR(AND(tblHistory[[#This Row],[BIZD S]]&gt;=0.8,tblHistory[[#This Row],[BKLN S]]&gt;=0.5),tblHistory[[#This Row],[CCC S]]&gt;=0.8)),0)</f>
        <v/>
      </c>
      <c r="Z365" s="46">
        <f>IFERROR(--AND(tblHistory[[#This Row],[Score]]&gt;=70,tblHistory[[#This Row],[SOX S]]&gt;=0.83,tblHistory[[#This Row],[AIQ S]]&gt;=0.8),0)</f>
        <v/>
      </c>
      <c r="AA36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6">
      <c r="A366" s="42" t="n">
        <v>45796</v>
      </c>
      <c r="B366" s="43" t="n">
        <v>21447.0508</v>
      </c>
      <c r="C366" s="43" t="n">
        <v>4897.71</v>
      </c>
      <c r="D366" s="43" t="n">
        <v>40.7982</v>
      </c>
      <c r="E366" s="43" t="n">
        <v>17.3419</v>
      </c>
      <c r="F366" s="44" t="n">
        <v>116</v>
      </c>
      <c r="G366" s="44" t="n">
        <v>886</v>
      </c>
      <c r="H366" s="43" t="n">
        <v>13.5633</v>
      </c>
      <c r="I366" s="43" t="n">
        <v>18.984</v>
      </c>
      <c r="J366" s="44" t="n">
        <v>321</v>
      </c>
      <c r="K36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6" s="46">
        <f>(Dashboard!$C$13*tblHistory[[#This Row],[NDX S]]+Dashboard!$C$14*tblHistory[[#This Row],[SOX S]]+Dashboard!$C$15*tblHistory[[#This Row],[AIQ S]])/(Dashboard!$C$13+Dashboard!$C$14+Dashboard!$C$15)*100</f>
        <v/>
      </c>
      <c r="U366" s="46">
        <f>(Dashboard!$C$16*tblHistory[[#This Row],[DTCR S]]+Dashboard!$C$17*tblHistory[[#This Row],[BBB S]]+Dashboard!$C$18*tblHistory[[#This Row],[CCC S]])/(Dashboard!$C$16+Dashboard!$C$17+Dashboard!$C$18)*100</f>
        <v/>
      </c>
      <c r="V366" s="46">
        <f>(Dashboard!$C$19*tblHistory[[#This Row],[BIZD S]]+Dashboard!$C$20*tblHistory[[#This Row],[BKLN S]]+Dashboard!$C$21*tblHistory[[#This Row],[HY S]])/(Dashboard!$C$19+Dashboard!$C$20+Dashboard!$C$21)*100</f>
        <v/>
      </c>
      <c r="W36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6" s="46">
        <f>IFERROR(--(tblHistory[[#This Row],[Score]]&gt;=50),0)</f>
        <v/>
      </c>
      <c r="Y366" s="46">
        <f>IFERROR(--AND(tblHistory[[#This Row],[Score]]&gt;=60,OR(AND(tblHistory[[#This Row],[BIZD S]]&gt;=0.8,tblHistory[[#This Row],[BKLN S]]&gt;=0.5),tblHistory[[#This Row],[CCC S]]&gt;=0.8)),0)</f>
        <v/>
      </c>
      <c r="Z366" s="46">
        <f>IFERROR(--AND(tblHistory[[#This Row],[Score]]&gt;=70,tblHistory[[#This Row],[SOX S]]&gt;=0.83,tblHistory[[#This Row],[AIQ S]]&gt;=0.8),0)</f>
        <v/>
      </c>
      <c r="AA36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7">
      <c r="A367" s="42" t="n">
        <v>45793</v>
      </c>
      <c r="B367" s="43" t="n">
        <v>21427.9395</v>
      </c>
      <c r="C367" s="43" t="n">
        <v>4922.1899</v>
      </c>
      <c r="D367" s="43" t="n">
        <v>40.8481</v>
      </c>
      <c r="E367" s="43" t="n">
        <v>17.3025</v>
      </c>
      <c r="F367" s="44" t="n">
        <v>117</v>
      </c>
      <c r="G367" s="44" t="n">
        <v>879</v>
      </c>
      <c r="H367" s="43" t="n">
        <v>13.4961</v>
      </c>
      <c r="I367" s="43" t="n">
        <v>18.9977</v>
      </c>
      <c r="J367" s="44" t="n">
        <v>316</v>
      </c>
      <c r="K36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7" s="46">
        <f>(Dashboard!$C$13*tblHistory[[#This Row],[NDX S]]+Dashboard!$C$14*tblHistory[[#This Row],[SOX S]]+Dashboard!$C$15*tblHistory[[#This Row],[AIQ S]])/(Dashboard!$C$13+Dashboard!$C$14+Dashboard!$C$15)*100</f>
        <v/>
      </c>
      <c r="U367" s="46">
        <f>(Dashboard!$C$16*tblHistory[[#This Row],[DTCR S]]+Dashboard!$C$17*tblHistory[[#This Row],[BBB S]]+Dashboard!$C$18*tblHistory[[#This Row],[CCC S]])/(Dashboard!$C$16+Dashboard!$C$17+Dashboard!$C$18)*100</f>
        <v/>
      </c>
      <c r="V367" s="46">
        <f>(Dashboard!$C$19*tblHistory[[#This Row],[BIZD S]]+Dashboard!$C$20*tblHistory[[#This Row],[BKLN S]]+Dashboard!$C$21*tblHistory[[#This Row],[HY S]])/(Dashboard!$C$19+Dashboard!$C$20+Dashboard!$C$21)*100</f>
        <v/>
      </c>
      <c r="W36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7" s="46">
        <f>IFERROR(--(tblHistory[[#This Row],[Score]]&gt;=50),0)</f>
        <v/>
      </c>
      <c r="Y367" s="46">
        <f>IFERROR(--AND(tblHistory[[#This Row],[Score]]&gt;=60,OR(AND(tblHistory[[#This Row],[BIZD S]]&gt;=0.8,tblHistory[[#This Row],[BKLN S]]&gt;=0.5),tblHistory[[#This Row],[CCC S]]&gt;=0.8)),0)</f>
        <v/>
      </c>
      <c r="Z367" s="46">
        <f>IFERROR(--AND(tblHistory[[#This Row],[Score]]&gt;=70,tblHistory[[#This Row],[SOX S]]&gt;=0.83,tblHistory[[#This Row],[AIQ S]]&gt;=0.8),0)</f>
        <v/>
      </c>
      <c r="AA36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8">
      <c r="A368" s="42" t="n">
        <v>45792</v>
      </c>
      <c r="B368" s="43" t="n">
        <v>21335.8203</v>
      </c>
      <c r="C368" s="43" t="n">
        <v>4932.4502</v>
      </c>
      <c r="D368" s="43" t="n">
        <v>40.7284</v>
      </c>
      <c r="E368" s="43" t="n">
        <v>16.9874</v>
      </c>
      <c r="F368" s="44" t="n">
        <v>119</v>
      </c>
      <c r="G368" s="44" t="n">
        <v>879</v>
      </c>
      <c r="H368" s="43" t="n">
        <v>13.3953</v>
      </c>
      <c r="I368" s="43" t="n">
        <v>18.9887</v>
      </c>
      <c r="J368" s="44" t="n">
        <v>320</v>
      </c>
      <c r="K36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8" s="46">
        <f>(Dashboard!$C$13*tblHistory[[#This Row],[NDX S]]+Dashboard!$C$14*tblHistory[[#This Row],[SOX S]]+Dashboard!$C$15*tblHistory[[#This Row],[AIQ S]])/(Dashboard!$C$13+Dashboard!$C$14+Dashboard!$C$15)*100</f>
        <v/>
      </c>
      <c r="U368" s="46">
        <f>(Dashboard!$C$16*tblHistory[[#This Row],[DTCR S]]+Dashboard!$C$17*tblHistory[[#This Row],[BBB S]]+Dashboard!$C$18*tblHistory[[#This Row],[CCC S]])/(Dashboard!$C$16+Dashboard!$C$17+Dashboard!$C$18)*100</f>
        <v/>
      </c>
      <c r="V368" s="46">
        <f>(Dashboard!$C$19*tblHistory[[#This Row],[BIZD S]]+Dashboard!$C$20*tblHistory[[#This Row],[BKLN S]]+Dashboard!$C$21*tblHistory[[#This Row],[HY S]])/(Dashboard!$C$19+Dashboard!$C$20+Dashboard!$C$21)*100</f>
        <v/>
      </c>
      <c r="W36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8" s="46">
        <f>IFERROR(--(tblHistory[[#This Row],[Score]]&gt;=50),0)</f>
        <v/>
      </c>
      <c r="Y368" s="46">
        <f>IFERROR(--AND(tblHistory[[#This Row],[Score]]&gt;=60,OR(AND(tblHistory[[#This Row],[BIZD S]]&gt;=0.8,tblHistory[[#This Row],[BKLN S]]&gt;=0.5),tblHistory[[#This Row],[CCC S]]&gt;=0.8)),0)</f>
        <v/>
      </c>
      <c r="Z368" s="46">
        <f>IFERROR(--AND(tblHistory[[#This Row],[Score]]&gt;=70,tblHistory[[#This Row],[SOX S]]&gt;=0.83,tblHistory[[#This Row],[AIQ S]]&gt;=0.8),0)</f>
        <v/>
      </c>
      <c r="AA36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69">
      <c r="A369" s="42" t="n">
        <v>45791</v>
      </c>
      <c r="B369" s="43" t="n">
        <v>21319.2109</v>
      </c>
      <c r="C369" s="43" t="n">
        <v>4960.73</v>
      </c>
      <c r="D369" s="43" t="n">
        <v>40.908</v>
      </c>
      <c r="E369" s="43" t="n">
        <v>16.9185</v>
      </c>
      <c r="F369" s="44" t="n">
        <v>118</v>
      </c>
      <c r="G369" s="44" t="n">
        <v>865</v>
      </c>
      <c r="H369" s="43" t="n">
        <v>13.3701</v>
      </c>
      <c r="I369" s="43" t="n">
        <v>18.9977</v>
      </c>
      <c r="J369" s="44" t="n">
        <v>310</v>
      </c>
      <c r="K36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6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6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6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6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6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6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6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6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69" s="46">
        <f>(Dashboard!$C$13*tblHistory[[#This Row],[NDX S]]+Dashboard!$C$14*tblHistory[[#This Row],[SOX S]]+Dashboard!$C$15*tblHistory[[#This Row],[AIQ S]])/(Dashboard!$C$13+Dashboard!$C$14+Dashboard!$C$15)*100</f>
        <v/>
      </c>
      <c r="U369" s="46">
        <f>(Dashboard!$C$16*tblHistory[[#This Row],[DTCR S]]+Dashboard!$C$17*tblHistory[[#This Row],[BBB S]]+Dashboard!$C$18*tblHistory[[#This Row],[CCC S]])/(Dashboard!$C$16+Dashboard!$C$17+Dashboard!$C$18)*100</f>
        <v/>
      </c>
      <c r="V369" s="46">
        <f>(Dashboard!$C$19*tblHistory[[#This Row],[BIZD S]]+Dashboard!$C$20*tblHistory[[#This Row],[BKLN S]]+Dashboard!$C$21*tblHistory[[#This Row],[HY S]])/(Dashboard!$C$19+Dashboard!$C$20+Dashboard!$C$21)*100</f>
        <v/>
      </c>
      <c r="W36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69" s="46">
        <f>IFERROR(--(tblHistory[[#This Row],[Score]]&gt;=50),0)</f>
        <v/>
      </c>
      <c r="Y369" s="46">
        <f>IFERROR(--AND(tblHistory[[#This Row],[Score]]&gt;=60,OR(AND(tblHistory[[#This Row],[BIZD S]]&gt;=0.8,tblHistory[[#This Row],[BKLN S]]&gt;=0.5),tblHistory[[#This Row],[CCC S]]&gt;=0.8)),0)</f>
        <v/>
      </c>
      <c r="Z369" s="46">
        <f>IFERROR(--AND(tblHistory[[#This Row],[Score]]&gt;=70,tblHistory[[#This Row],[SOX S]]&gt;=0.83,tblHistory[[#This Row],[AIQ S]]&gt;=0.8),0)</f>
        <v/>
      </c>
      <c r="AA36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6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6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6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6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0">
      <c r="A370" s="42" t="n">
        <v>45790</v>
      </c>
      <c r="B370" s="43" t="n">
        <v>21197.6992</v>
      </c>
      <c r="C370" s="43" t="n">
        <v>4931.3501</v>
      </c>
      <c r="D370" s="43" t="n">
        <v>40.6286</v>
      </c>
      <c r="E370" s="43" t="n">
        <v>16.8692</v>
      </c>
      <c r="F370" s="44" t="n">
        <v>119</v>
      </c>
      <c r="G370" s="44" t="n">
        <v>874</v>
      </c>
      <c r="H370" s="43" t="n">
        <v>13.3785</v>
      </c>
      <c r="I370" s="43" t="n">
        <v>18.9706</v>
      </c>
      <c r="J370" s="44" t="n">
        <v>309</v>
      </c>
      <c r="K37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0" s="46">
        <f>(Dashboard!$C$13*tblHistory[[#This Row],[NDX S]]+Dashboard!$C$14*tblHistory[[#This Row],[SOX S]]+Dashboard!$C$15*tblHistory[[#This Row],[AIQ S]])/(Dashboard!$C$13+Dashboard!$C$14+Dashboard!$C$15)*100</f>
        <v/>
      </c>
      <c r="U370" s="46">
        <f>(Dashboard!$C$16*tblHistory[[#This Row],[DTCR S]]+Dashboard!$C$17*tblHistory[[#This Row],[BBB S]]+Dashboard!$C$18*tblHistory[[#This Row],[CCC S]])/(Dashboard!$C$16+Dashboard!$C$17+Dashboard!$C$18)*100</f>
        <v/>
      </c>
      <c r="V370" s="46">
        <f>(Dashboard!$C$19*tblHistory[[#This Row],[BIZD S]]+Dashboard!$C$20*tblHistory[[#This Row],[BKLN S]]+Dashboard!$C$21*tblHistory[[#This Row],[HY S]])/(Dashboard!$C$19+Dashboard!$C$20+Dashboard!$C$21)*100</f>
        <v/>
      </c>
      <c r="W37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0" s="46">
        <f>IFERROR(--(tblHistory[[#This Row],[Score]]&gt;=50),0)</f>
        <v/>
      </c>
      <c r="Y370" s="46">
        <f>IFERROR(--AND(tblHistory[[#This Row],[Score]]&gt;=60,OR(AND(tblHistory[[#This Row],[BIZD S]]&gt;=0.8,tblHistory[[#This Row],[BKLN S]]&gt;=0.5),tblHistory[[#This Row],[CCC S]]&gt;=0.8)),0)</f>
        <v/>
      </c>
      <c r="Z370" s="46">
        <f>IFERROR(--AND(tblHistory[[#This Row],[Score]]&gt;=70,tblHistory[[#This Row],[SOX S]]&gt;=0.83,tblHistory[[#This Row],[AIQ S]]&gt;=0.8),0)</f>
        <v/>
      </c>
      <c r="AA37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1">
      <c r="A371" s="42" t="n">
        <v>45789</v>
      </c>
      <c r="B371" s="43" t="n">
        <v>20868.1504</v>
      </c>
      <c r="C371" s="43" t="n">
        <v>4780.9302</v>
      </c>
      <c r="D371" s="43" t="n">
        <v>39.8402</v>
      </c>
      <c r="E371" s="43" t="n">
        <v>16.9382</v>
      </c>
      <c r="F371" s="44" t="n">
        <v>122</v>
      </c>
      <c r="G371" s="44" t="n">
        <v>879</v>
      </c>
      <c r="H371" s="43" t="n">
        <v>13.261</v>
      </c>
      <c r="I371" s="43" t="n">
        <v>18.9796</v>
      </c>
      <c r="J371" s="44" t="n">
        <v>315</v>
      </c>
      <c r="K37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1" s="46">
        <f>(Dashboard!$C$13*tblHistory[[#This Row],[NDX S]]+Dashboard!$C$14*tblHistory[[#This Row],[SOX S]]+Dashboard!$C$15*tblHistory[[#This Row],[AIQ S]])/(Dashboard!$C$13+Dashboard!$C$14+Dashboard!$C$15)*100</f>
        <v/>
      </c>
      <c r="U371" s="46">
        <f>(Dashboard!$C$16*tblHistory[[#This Row],[DTCR S]]+Dashboard!$C$17*tblHistory[[#This Row],[BBB S]]+Dashboard!$C$18*tblHistory[[#This Row],[CCC S]])/(Dashboard!$C$16+Dashboard!$C$17+Dashboard!$C$18)*100</f>
        <v/>
      </c>
      <c r="V371" s="46">
        <f>(Dashboard!$C$19*tblHistory[[#This Row],[BIZD S]]+Dashboard!$C$20*tblHistory[[#This Row],[BKLN S]]+Dashboard!$C$21*tblHistory[[#This Row],[HY S]])/(Dashboard!$C$19+Dashboard!$C$20+Dashboard!$C$21)*100</f>
        <v/>
      </c>
      <c r="W37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1" s="46">
        <f>IFERROR(--(tblHistory[[#This Row],[Score]]&gt;=50),0)</f>
        <v/>
      </c>
      <c r="Y371" s="46">
        <f>IFERROR(--AND(tblHistory[[#This Row],[Score]]&gt;=60,OR(AND(tblHistory[[#This Row],[BIZD S]]&gt;=0.8,tblHistory[[#This Row],[BKLN S]]&gt;=0.5),tblHistory[[#This Row],[CCC S]]&gt;=0.8)),0)</f>
        <v/>
      </c>
      <c r="Z371" s="46">
        <f>IFERROR(--AND(tblHistory[[#This Row],[Score]]&gt;=70,tblHistory[[#This Row],[SOX S]]&gt;=0.83,tblHistory[[#This Row],[AIQ S]]&gt;=0.8),0)</f>
        <v/>
      </c>
      <c r="AA37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2">
      <c r="A372" s="42" t="n">
        <v>45786</v>
      </c>
      <c r="B372" s="43" t="n">
        <v>20061.4492</v>
      </c>
      <c r="C372" s="43" t="n">
        <v>4466.5</v>
      </c>
      <c r="D372" s="43" t="n">
        <v>38.2434</v>
      </c>
      <c r="E372" s="43" t="n">
        <v>16.692</v>
      </c>
      <c r="F372" s="44" t="n">
        <v>129</v>
      </c>
      <c r="G372" s="44" t="n">
        <v>933</v>
      </c>
      <c r="H372" s="43" t="n">
        <v>12.883</v>
      </c>
      <c r="I372" s="43" t="n">
        <v>18.8801</v>
      </c>
      <c r="J372" s="44" t="n">
        <v>353</v>
      </c>
      <c r="K37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2" s="46">
        <f>(Dashboard!$C$13*tblHistory[[#This Row],[NDX S]]+Dashboard!$C$14*tblHistory[[#This Row],[SOX S]]+Dashboard!$C$15*tblHistory[[#This Row],[AIQ S]])/(Dashboard!$C$13+Dashboard!$C$14+Dashboard!$C$15)*100</f>
        <v/>
      </c>
      <c r="U372" s="46">
        <f>(Dashboard!$C$16*tblHistory[[#This Row],[DTCR S]]+Dashboard!$C$17*tblHistory[[#This Row],[BBB S]]+Dashboard!$C$18*tblHistory[[#This Row],[CCC S]])/(Dashboard!$C$16+Dashboard!$C$17+Dashboard!$C$18)*100</f>
        <v/>
      </c>
      <c r="V372" s="46">
        <f>(Dashboard!$C$19*tblHistory[[#This Row],[BIZD S]]+Dashboard!$C$20*tblHistory[[#This Row],[BKLN S]]+Dashboard!$C$21*tblHistory[[#This Row],[HY S]])/(Dashboard!$C$19+Dashboard!$C$20+Dashboard!$C$21)*100</f>
        <v/>
      </c>
      <c r="W37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2" s="46">
        <f>IFERROR(--(tblHistory[[#This Row],[Score]]&gt;=50),0)</f>
        <v/>
      </c>
      <c r="Y372" s="46">
        <f>IFERROR(--AND(tblHistory[[#This Row],[Score]]&gt;=60,OR(AND(tblHistory[[#This Row],[BIZD S]]&gt;=0.8,tblHistory[[#This Row],[BKLN S]]&gt;=0.5),tblHistory[[#This Row],[CCC S]]&gt;=0.8)),0)</f>
        <v/>
      </c>
      <c r="Z372" s="46">
        <f>IFERROR(--AND(tblHistory[[#This Row],[Score]]&gt;=70,tblHistory[[#This Row],[SOX S]]&gt;=0.83,tblHistory[[#This Row],[AIQ S]]&gt;=0.8),0)</f>
        <v/>
      </c>
      <c r="AA37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3">
      <c r="A373" s="42" t="n">
        <v>45785</v>
      </c>
      <c r="B373" s="43" t="n">
        <v>20063.5605</v>
      </c>
      <c r="C373" s="43" t="n">
        <v>4430.4399</v>
      </c>
      <c r="D373" s="43" t="n">
        <v>38.2334</v>
      </c>
      <c r="E373" s="43" t="n">
        <v>16.6427</v>
      </c>
      <c r="F373" s="44" t="n">
        <v>129</v>
      </c>
      <c r="G373" s="44" t="n">
        <v>934</v>
      </c>
      <c r="H373" s="43" t="n">
        <v>12.8662</v>
      </c>
      <c r="I373" s="43" t="n">
        <v>18.862</v>
      </c>
      <c r="J373" s="44" t="n">
        <v>351</v>
      </c>
      <c r="K37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3" s="46">
        <f>(Dashboard!$C$13*tblHistory[[#This Row],[NDX S]]+Dashboard!$C$14*tblHistory[[#This Row],[SOX S]]+Dashboard!$C$15*tblHistory[[#This Row],[AIQ S]])/(Dashboard!$C$13+Dashboard!$C$14+Dashboard!$C$15)*100</f>
        <v/>
      </c>
      <c r="U373" s="46">
        <f>(Dashboard!$C$16*tblHistory[[#This Row],[DTCR S]]+Dashboard!$C$17*tblHistory[[#This Row],[BBB S]]+Dashboard!$C$18*tblHistory[[#This Row],[CCC S]])/(Dashboard!$C$16+Dashboard!$C$17+Dashboard!$C$18)*100</f>
        <v/>
      </c>
      <c r="V373" s="46">
        <f>(Dashboard!$C$19*tblHistory[[#This Row],[BIZD S]]+Dashboard!$C$20*tblHistory[[#This Row],[BKLN S]]+Dashboard!$C$21*tblHistory[[#This Row],[HY S]])/(Dashboard!$C$19+Dashboard!$C$20+Dashboard!$C$21)*100</f>
        <v/>
      </c>
      <c r="W37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3" s="46">
        <f>IFERROR(--(tblHistory[[#This Row],[Score]]&gt;=50),0)</f>
        <v/>
      </c>
      <c r="Y373" s="46">
        <f>IFERROR(--AND(tblHistory[[#This Row],[Score]]&gt;=60,OR(AND(tblHistory[[#This Row],[BIZD S]]&gt;=0.8,tblHistory[[#This Row],[BKLN S]]&gt;=0.5),tblHistory[[#This Row],[CCC S]]&gt;=0.8)),0)</f>
        <v/>
      </c>
      <c r="Z373" s="46">
        <f>IFERROR(--AND(tblHistory[[#This Row],[Score]]&gt;=70,tblHistory[[#This Row],[SOX S]]&gt;=0.83,tblHistory[[#This Row],[AIQ S]]&gt;=0.8),0)</f>
        <v/>
      </c>
      <c r="AA37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4">
      <c r="A374" s="42" t="n">
        <v>45784</v>
      </c>
      <c r="B374" s="43" t="n">
        <v>19867.9707</v>
      </c>
      <c r="C374" s="43" t="n">
        <v>4386.3599</v>
      </c>
      <c r="D374" s="43" t="n">
        <v>37.8142</v>
      </c>
      <c r="E374" s="43" t="n">
        <v>16.6723</v>
      </c>
      <c r="F374" s="44" t="n">
        <v>132</v>
      </c>
      <c r="G374" s="44" t="n">
        <v>960</v>
      </c>
      <c r="H374" s="43" t="n">
        <v>12.7319</v>
      </c>
      <c r="I374" s="43" t="n">
        <v>18.8258</v>
      </c>
      <c r="J374" s="44" t="n">
        <v>367</v>
      </c>
      <c r="K37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4" s="46">
        <f>(Dashboard!$C$13*tblHistory[[#This Row],[NDX S]]+Dashboard!$C$14*tblHistory[[#This Row],[SOX S]]+Dashboard!$C$15*tblHistory[[#This Row],[AIQ S]])/(Dashboard!$C$13+Dashboard!$C$14+Dashboard!$C$15)*100</f>
        <v/>
      </c>
      <c r="U374" s="46">
        <f>(Dashboard!$C$16*tblHistory[[#This Row],[DTCR S]]+Dashboard!$C$17*tblHistory[[#This Row],[BBB S]]+Dashboard!$C$18*tblHistory[[#This Row],[CCC S]])/(Dashboard!$C$16+Dashboard!$C$17+Dashboard!$C$18)*100</f>
        <v/>
      </c>
      <c r="V374" s="46">
        <f>(Dashboard!$C$19*tblHistory[[#This Row],[BIZD S]]+Dashboard!$C$20*tblHistory[[#This Row],[BKLN S]]+Dashboard!$C$21*tblHistory[[#This Row],[HY S]])/(Dashboard!$C$19+Dashboard!$C$20+Dashboard!$C$21)*100</f>
        <v/>
      </c>
      <c r="W37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4" s="46">
        <f>IFERROR(--(tblHistory[[#This Row],[Score]]&gt;=50),0)</f>
        <v/>
      </c>
      <c r="Y374" s="46">
        <f>IFERROR(--AND(tblHistory[[#This Row],[Score]]&gt;=60,OR(AND(tblHistory[[#This Row],[BIZD S]]&gt;=0.8,tblHistory[[#This Row],[BKLN S]]&gt;=0.5),tblHistory[[#This Row],[CCC S]]&gt;=0.8)),0)</f>
        <v/>
      </c>
      <c r="Z374" s="46">
        <f>IFERROR(--AND(tblHistory[[#This Row],[Score]]&gt;=70,tblHistory[[#This Row],[SOX S]]&gt;=0.83,tblHistory[[#This Row],[AIQ S]]&gt;=0.8),0)</f>
        <v/>
      </c>
      <c r="AA37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5">
      <c r="A375" s="42" t="n">
        <v>45783</v>
      </c>
      <c r="B375" s="43" t="n">
        <v>19791.3496</v>
      </c>
      <c r="C375" s="43" t="n">
        <v>4311.2002</v>
      </c>
      <c r="D375" s="43" t="n">
        <v>37.7044</v>
      </c>
      <c r="E375" s="43" t="n">
        <v>16.9283</v>
      </c>
      <c r="F375" s="44" t="n">
        <v>133</v>
      </c>
      <c r="G375" s="44" t="n">
        <v>956</v>
      </c>
      <c r="H375" s="43" t="n">
        <v>12.7739</v>
      </c>
      <c r="I375" s="43" t="n">
        <v>18.8077</v>
      </c>
      <c r="J375" s="44" t="n">
        <v>366</v>
      </c>
      <c r="K37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5" s="46">
        <f>(Dashboard!$C$13*tblHistory[[#This Row],[NDX S]]+Dashboard!$C$14*tblHistory[[#This Row],[SOX S]]+Dashboard!$C$15*tblHistory[[#This Row],[AIQ S]])/(Dashboard!$C$13+Dashboard!$C$14+Dashboard!$C$15)*100</f>
        <v/>
      </c>
      <c r="U375" s="46">
        <f>(Dashboard!$C$16*tblHistory[[#This Row],[DTCR S]]+Dashboard!$C$17*tblHistory[[#This Row],[BBB S]]+Dashboard!$C$18*tblHistory[[#This Row],[CCC S]])/(Dashboard!$C$16+Dashboard!$C$17+Dashboard!$C$18)*100</f>
        <v/>
      </c>
      <c r="V375" s="46">
        <f>(Dashboard!$C$19*tblHistory[[#This Row],[BIZD S]]+Dashboard!$C$20*tblHistory[[#This Row],[BKLN S]]+Dashboard!$C$21*tblHistory[[#This Row],[HY S]])/(Dashboard!$C$19+Dashboard!$C$20+Dashboard!$C$21)*100</f>
        <v/>
      </c>
      <c r="W37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5" s="46">
        <f>IFERROR(--(tblHistory[[#This Row],[Score]]&gt;=50),0)</f>
        <v/>
      </c>
      <c r="Y375" s="46">
        <f>IFERROR(--AND(tblHistory[[#This Row],[Score]]&gt;=60,OR(AND(tblHistory[[#This Row],[BIZD S]]&gt;=0.8,tblHistory[[#This Row],[BKLN S]]&gt;=0.5),tblHistory[[#This Row],[CCC S]]&gt;=0.8)),0)</f>
        <v/>
      </c>
      <c r="Z375" s="46">
        <f>IFERROR(--AND(tblHistory[[#This Row],[Score]]&gt;=70,tblHistory[[#This Row],[SOX S]]&gt;=0.83,tblHistory[[#This Row],[AIQ S]]&gt;=0.8),0)</f>
        <v/>
      </c>
      <c r="AA37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6">
      <c r="A376" s="42" t="n">
        <v>45782</v>
      </c>
      <c r="B376" s="43" t="n">
        <v>19967.9395</v>
      </c>
      <c r="C376" s="43" t="n">
        <v>4356.1802</v>
      </c>
      <c r="D376" s="43" t="n">
        <v>38.0238</v>
      </c>
      <c r="E376" s="43" t="n">
        <v>16.9185</v>
      </c>
      <c r="F376" s="44" t="n">
        <v>133</v>
      </c>
      <c r="G376" s="44" t="n">
        <v>950</v>
      </c>
      <c r="H376" s="43" t="n">
        <v>12.6815</v>
      </c>
      <c r="I376" s="43" t="n">
        <v>18.8077</v>
      </c>
      <c r="J376" s="44" t="n">
        <v>360</v>
      </c>
      <c r="K37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6" s="46">
        <f>(Dashboard!$C$13*tblHistory[[#This Row],[NDX S]]+Dashboard!$C$14*tblHistory[[#This Row],[SOX S]]+Dashboard!$C$15*tblHistory[[#This Row],[AIQ S]])/(Dashboard!$C$13+Dashboard!$C$14+Dashboard!$C$15)*100</f>
        <v/>
      </c>
      <c r="U376" s="46">
        <f>(Dashboard!$C$16*tblHistory[[#This Row],[DTCR S]]+Dashboard!$C$17*tblHistory[[#This Row],[BBB S]]+Dashboard!$C$18*tblHistory[[#This Row],[CCC S]])/(Dashboard!$C$16+Dashboard!$C$17+Dashboard!$C$18)*100</f>
        <v/>
      </c>
      <c r="V376" s="46">
        <f>(Dashboard!$C$19*tblHistory[[#This Row],[BIZD S]]+Dashboard!$C$20*tblHistory[[#This Row],[BKLN S]]+Dashboard!$C$21*tblHistory[[#This Row],[HY S]])/(Dashboard!$C$19+Dashboard!$C$20+Dashboard!$C$21)*100</f>
        <v/>
      </c>
      <c r="W37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6" s="46">
        <f>IFERROR(--(tblHistory[[#This Row],[Score]]&gt;=50),0)</f>
        <v/>
      </c>
      <c r="Y376" s="46">
        <f>IFERROR(--AND(tblHistory[[#This Row],[Score]]&gt;=60,OR(AND(tblHistory[[#This Row],[BIZD S]]&gt;=0.8,tblHistory[[#This Row],[BKLN S]]&gt;=0.5),tblHistory[[#This Row],[CCC S]]&gt;=0.8)),0)</f>
        <v/>
      </c>
      <c r="Z376" s="46">
        <f>IFERROR(--AND(tblHistory[[#This Row],[Score]]&gt;=70,tblHistory[[#This Row],[SOX S]]&gt;=0.83,tblHistory[[#This Row],[AIQ S]]&gt;=0.8),0)</f>
        <v/>
      </c>
      <c r="AA37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7">
      <c r="A377" s="42" t="n">
        <v>45779</v>
      </c>
      <c r="B377" s="43" t="n">
        <v>20102.6094</v>
      </c>
      <c r="C377" s="43" t="n">
        <v>4397.0498</v>
      </c>
      <c r="D377" s="43" t="n">
        <v>38.0837</v>
      </c>
      <c r="E377" s="43" t="n">
        <v>16.8889</v>
      </c>
      <c r="F377" s="44" t="n">
        <v>134</v>
      </c>
      <c r="G377" s="44" t="n">
        <v>956</v>
      </c>
      <c r="H377" s="43" t="n">
        <v>12.9082</v>
      </c>
      <c r="I377" s="43" t="n">
        <v>18.8077</v>
      </c>
      <c r="J377" s="44" t="n">
        <v>360</v>
      </c>
      <c r="K37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7" s="46">
        <f>(Dashboard!$C$13*tblHistory[[#This Row],[NDX S]]+Dashboard!$C$14*tblHistory[[#This Row],[SOX S]]+Dashboard!$C$15*tblHistory[[#This Row],[AIQ S]])/(Dashboard!$C$13+Dashboard!$C$14+Dashboard!$C$15)*100</f>
        <v/>
      </c>
      <c r="U377" s="46">
        <f>(Dashboard!$C$16*tblHistory[[#This Row],[DTCR S]]+Dashboard!$C$17*tblHistory[[#This Row],[BBB S]]+Dashboard!$C$18*tblHistory[[#This Row],[CCC S]])/(Dashboard!$C$16+Dashboard!$C$17+Dashboard!$C$18)*100</f>
        <v/>
      </c>
      <c r="V377" s="46">
        <f>(Dashboard!$C$19*tblHistory[[#This Row],[BIZD S]]+Dashboard!$C$20*tblHistory[[#This Row],[BKLN S]]+Dashboard!$C$21*tblHistory[[#This Row],[HY S]])/(Dashboard!$C$19+Dashboard!$C$20+Dashboard!$C$21)*100</f>
        <v/>
      </c>
      <c r="W37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7" s="46">
        <f>IFERROR(--(tblHistory[[#This Row],[Score]]&gt;=50),0)</f>
        <v/>
      </c>
      <c r="Y377" s="46">
        <f>IFERROR(--AND(tblHistory[[#This Row],[Score]]&gt;=60,OR(AND(tblHistory[[#This Row],[BIZD S]]&gt;=0.8,tblHistory[[#This Row],[BKLN S]]&gt;=0.5),tblHistory[[#This Row],[CCC S]]&gt;=0.8)),0)</f>
        <v/>
      </c>
      <c r="Z377" s="46">
        <f>IFERROR(--AND(tblHistory[[#This Row],[Score]]&gt;=70,tblHistory[[#This Row],[SOX S]]&gt;=0.83,tblHistory[[#This Row],[AIQ S]]&gt;=0.8),0)</f>
        <v/>
      </c>
      <c r="AA37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8">
      <c r="A378" s="42" t="n">
        <v>45778</v>
      </c>
      <c r="B378" s="43" t="n">
        <v>19786.7109</v>
      </c>
      <c r="C378" s="43" t="n">
        <v>4247.6602</v>
      </c>
      <c r="D378" s="43" t="n">
        <v>37.0957</v>
      </c>
      <c r="E378" s="43" t="n">
        <v>16.5049</v>
      </c>
      <c r="F378" s="44" t="n">
        <v>138</v>
      </c>
      <c r="G378" s="44" t="n">
        <v>976</v>
      </c>
      <c r="H378" s="43" t="n">
        <v>12.6899</v>
      </c>
      <c r="I378" s="43" t="n">
        <v>18.7173</v>
      </c>
      <c r="J378" s="44" t="n">
        <v>378</v>
      </c>
      <c r="K37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8" s="46">
        <f>(Dashboard!$C$13*tblHistory[[#This Row],[NDX S]]+Dashboard!$C$14*tblHistory[[#This Row],[SOX S]]+Dashboard!$C$15*tblHistory[[#This Row],[AIQ S]])/(Dashboard!$C$13+Dashboard!$C$14+Dashboard!$C$15)*100</f>
        <v/>
      </c>
      <c r="U378" s="46">
        <f>(Dashboard!$C$16*tblHistory[[#This Row],[DTCR S]]+Dashboard!$C$17*tblHistory[[#This Row],[BBB S]]+Dashboard!$C$18*tblHistory[[#This Row],[CCC S]])/(Dashboard!$C$16+Dashboard!$C$17+Dashboard!$C$18)*100</f>
        <v/>
      </c>
      <c r="V378" s="46">
        <f>(Dashboard!$C$19*tblHistory[[#This Row],[BIZD S]]+Dashboard!$C$20*tblHistory[[#This Row],[BKLN S]]+Dashboard!$C$21*tblHistory[[#This Row],[HY S]])/(Dashboard!$C$19+Dashboard!$C$20+Dashboard!$C$21)*100</f>
        <v/>
      </c>
      <c r="W37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8" s="46">
        <f>IFERROR(--(tblHistory[[#This Row],[Score]]&gt;=50),0)</f>
        <v/>
      </c>
      <c r="Y378" s="46">
        <f>IFERROR(--AND(tblHistory[[#This Row],[Score]]&gt;=60,OR(AND(tblHistory[[#This Row],[BIZD S]]&gt;=0.8,tblHistory[[#This Row],[BKLN S]]&gt;=0.5),tblHistory[[#This Row],[CCC S]]&gt;=0.8)),0)</f>
        <v/>
      </c>
      <c r="Z378" s="46">
        <f>IFERROR(--AND(tblHistory[[#This Row],[Score]]&gt;=70,tblHistory[[#This Row],[SOX S]]&gt;=0.83,tblHistory[[#This Row],[AIQ S]]&gt;=0.8),0)</f>
        <v/>
      </c>
      <c r="AA37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79">
      <c r="A379" s="42" t="n">
        <v>45777</v>
      </c>
      <c r="B379" s="43" t="n">
        <v>19571.0195</v>
      </c>
      <c r="C379" s="43" t="n">
        <v>4230.0898</v>
      </c>
      <c r="D379" s="43" t="n">
        <v>36.7963</v>
      </c>
      <c r="E379" s="43" t="n">
        <v>16.3867</v>
      </c>
      <c r="F379" s="44" t="n">
        <v>137</v>
      </c>
      <c r="G379" s="44" t="n">
        <v>1000</v>
      </c>
      <c r="H379" s="43" t="n">
        <v>12.7907</v>
      </c>
      <c r="I379" s="43" t="n">
        <v>18.7444</v>
      </c>
      <c r="J379" s="44" t="n">
        <v>394</v>
      </c>
      <c r="K37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7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7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7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7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7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7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7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7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79" s="46">
        <f>(Dashboard!$C$13*tblHistory[[#This Row],[NDX S]]+Dashboard!$C$14*tblHistory[[#This Row],[SOX S]]+Dashboard!$C$15*tblHistory[[#This Row],[AIQ S]])/(Dashboard!$C$13+Dashboard!$C$14+Dashboard!$C$15)*100</f>
        <v/>
      </c>
      <c r="U379" s="46">
        <f>(Dashboard!$C$16*tblHistory[[#This Row],[DTCR S]]+Dashboard!$C$17*tblHistory[[#This Row],[BBB S]]+Dashboard!$C$18*tblHistory[[#This Row],[CCC S]])/(Dashboard!$C$16+Dashboard!$C$17+Dashboard!$C$18)*100</f>
        <v/>
      </c>
      <c r="V379" s="46">
        <f>(Dashboard!$C$19*tblHistory[[#This Row],[BIZD S]]+Dashboard!$C$20*tblHistory[[#This Row],[BKLN S]]+Dashboard!$C$21*tblHistory[[#This Row],[HY S]])/(Dashboard!$C$19+Dashboard!$C$20+Dashboard!$C$21)*100</f>
        <v/>
      </c>
      <c r="W37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79" s="46">
        <f>IFERROR(--(tblHistory[[#This Row],[Score]]&gt;=50),0)</f>
        <v/>
      </c>
      <c r="Y379" s="46">
        <f>IFERROR(--AND(tblHistory[[#This Row],[Score]]&gt;=60,OR(AND(tblHistory[[#This Row],[BIZD S]]&gt;=0.8,tblHistory[[#This Row],[BKLN S]]&gt;=0.5),tblHistory[[#This Row],[CCC S]]&gt;=0.8)),0)</f>
        <v/>
      </c>
      <c r="Z379" s="46">
        <f>IFERROR(--AND(tblHistory[[#This Row],[Score]]&gt;=70,tblHistory[[#This Row],[SOX S]]&gt;=0.83,tblHistory[[#This Row],[AIQ S]]&gt;=0.8),0)</f>
        <v/>
      </c>
      <c r="AA37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7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7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7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7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0">
      <c r="A380" s="42" t="n">
        <v>45776</v>
      </c>
      <c r="B380" s="43" t="n">
        <v>19544.9492</v>
      </c>
      <c r="C380" s="43" t="n">
        <v>4196.75</v>
      </c>
      <c r="D380" s="43" t="n">
        <v>36.8761</v>
      </c>
      <c r="E380" s="43" t="n">
        <v>16.1897</v>
      </c>
      <c r="F380" s="44" t="n">
        <v>133</v>
      </c>
      <c r="G380" s="44" t="n">
        <v>976</v>
      </c>
      <c r="H380" s="43" t="n">
        <v>12.9754</v>
      </c>
      <c r="I380" s="43" t="n">
        <v>18.7535</v>
      </c>
      <c r="J380" s="44" t="n">
        <v>374</v>
      </c>
      <c r="K38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0" s="46">
        <f>(Dashboard!$C$13*tblHistory[[#This Row],[NDX S]]+Dashboard!$C$14*tblHistory[[#This Row],[SOX S]]+Dashboard!$C$15*tblHistory[[#This Row],[AIQ S]])/(Dashboard!$C$13+Dashboard!$C$14+Dashboard!$C$15)*100</f>
        <v/>
      </c>
      <c r="U380" s="46">
        <f>(Dashboard!$C$16*tblHistory[[#This Row],[DTCR S]]+Dashboard!$C$17*tblHistory[[#This Row],[BBB S]]+Dashboard!$C$18*tblHistory[[#This Row],[CCC S]])/(Dashboard!$C$16+Dashboard!$C$17+Dashboard!$C$18)*100</f>
        <v/>
      </c>
      <c r="V380" s="46">
        <f>(Dashboard!$C$19*tblHistory[[#This Row],[BIZD S]]+Dashboard!$C$20*tblHistory[[#This Row],[BKLN S]]+Dashboard!$C$21*tblHistory[[#This Row],[HY S]])/(Dashboard!$C$19+Dashboard!$C$20+Dashboard!$C$21)*100</f>
        <v/>
      </c>
      <c r="W38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0" s="46">
        <f>IFERROR(--(tblHistory[[#This Row],[Score]]&gt;=50),0)</f>
        <v/>
      </c>
      <c r="Y380" s="46">
        <f>IFERROR(--AND(tblHistory[[#This Row],[Score]]&gt;=60,OR(AND(tblHistory[[#This Row],[BIZD S]]&gt;=0.8,tblHistory[[#This Row],[BKLN S]]&gt;=0.5),tblHistory[[#This Row],[CCC S]]&gt;=0.8)),0)</f>
        <v/>
      </c>
      <c r="Z380" s="46">
        <f>IFERROR(--AND(tblHistory[[#This Row],[Score]]&gt;=70,tblHistory[[#This Row],[SOX S]]&gt;=0.83,tblHistory[[#This Row],[AIQ S]]&gt;=0.8),0)</f>
        <v/>
      </c>
      <c r="AA38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1">
      <c r="A381" s="42" t="n">
        <v>45775</v>
      </c>
      <c r="B381" s="43" t="n">
        <v>19427.2891</v>
      </c>
      <c r="C381" s="43" t="n">
        <v>4235.6201</v>
      </c>
      <c r="D381" s="43" t="n">
        <v>36.7264</v>
      </c>
      <c r="E381" s="43" t="n">
        <v>15.9632</v>
      </c>
      <c r="F381" s="44" t="n">
        <v>131</v>
      </c>
      <c r="G381" s="44" t="n">
        <v>979</v>
      </c>
      <c r="H381" s="43" t="n">
        <v>13.1014</v>
      </c>
      <c r="I381" s="43" t="n">
        <v>18.7354</v>
      </c>
      <c r="J381" s="44" t="n">
        <v>373</v>
      </c>
      <c r="K38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1" s="46">
        <f>(Dashboard!$C$13*tblHistory[[#This Row],[NDX S]]+Dashboard!$C$14*tblHistory[[#This Row],[SOX S]]+Dashboard!$C$15*tblHistory[[#This Row],[AIQ S]])/(Dashboard!$C$13+Dashboard!$C$14+Dashboard!$C$15)*100</f>
        <v/>
      </c>
      <c r="U381" s="46">
        <f>(Dashboard!$C$16*tblHistory[[#This Row],[DTCR S]]+Dashboard!$C$17*tblHistory[[#This Row],[BBB S]]+Dashboard!$C$18*tblHistory[[#This Row],[CCC S]])/(Dashboard!$C$16+Dashboard!$C$17+Dashboard!$C$18)*100</f>
        <v/>
      </c>
      <c r="V381" s="46">
        <f>(Dashboard!$C$19*tblHistory[[#This Row],[BIZD S]]+Dashboard!$C$20*tblHistory[[#This Row],[BKLN S]]+Dashboard!$C$21*tblHistory[[#This Row],[HY S]])/(Dashboard!$C$19+Dashboard!$C$20+Dashboard!$C$21)*100</f>
        <v/>
      </c>
      <c r="W38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1" s="46">
        <f>IFERROR(--(tblHistory[[#This Row],[Score]]&gt;=50),0)</f>
        <v/>
      </c>
      <c r="Y381" s="46">
        <f>IFERROR(--AND(tblHistory[[#This Row],[Score]]&gt;=60,OR(AND(tblHistory[[#This Row],[BIZD S]]&gt;=0.8,tblHistory[[#This Row],[BKLN S]]&gt;=0.5),tblHistory[[#This Row],[CCC S]]&gt;=0.8)),0)</f>
        <v/>
      </c>
      <c r="Z381" s="46">
        <f>IFERROR(--AND(tblHistory[[#This Row],[Score]]&gt;=70,tblHistory[[#This Row],[SOX S]]&gt;=0.83,tblHistory[[#This Row],[AIQ S]]&gt;=0.8),0)</f>
        <v/>
      </c>
      <c r="AA38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2">
      <c r="A382" s="42" t="n">
        <v>45772</v>
      </c>
      <c r="B382" s="43" t="n">
        <v>19432.5605</v>
      </c>
      <c r="C382" s="43" t="n">
        <v>4251.6099</v>
      </c>
      <c r="D382" s="43" t="n">
        <v>36.6965</v>
      </c>
      <c r="E382" s="43" t="n">
        <v>15.8746</v>
      </c>
      <c r="F382" s="44" t="n">
        <v>131</v>
      </c>
      <c r="G382" s="44" t="n">
        <v>975</v>
      </c>
      <c r="H382" s="43" t="n">
        <v>13.0258</v>
      </c>
      <c r="I382" s="43" t="n">
        <v>18.7173</v>
      </c>
      <c r="J382" s="44" t="n">
        <v>367</v>
      </c>
      <c r="K38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2" s="46">
        <f>(Dashboard!$C$13*tblHistory[[#This Row],[NDX S]]+Dashboard!$C$14*tblHistory[[#This Row],[SOX S]]+Dashboard!$C$15*tblHistory[[#This Row],[AIQ S]])/(Dashboard!$C$13+Dashboard!$C$14+Dashboard!$C$15)*100</f>
        <v/>
      </c>
      <c r="U382" s="46">
        <f>(Dashboard!$C$16*tblHistory[[#This Row],[DTCR S]]+Dashboard!$C$17*tblHistory[[#This Row],[BBB S]]+Dashboard!$C$18*tblHistory[[#This Row],[CCC S]])/(Dashboard!$C$16+Dashboard!$C$17+Dashboard!$C$18)*100</f>
        <v/>
      </c>
      <c r="V382" s="46">
        <f>(Dashboard!$C$19*tblHistory[[#This Row],[BIZD S]]+Dashboard!$C$20*tblHistory[[#This Row],[BKLN S]]+Dashboard!$C$21*tblHistory[[#This Row],[HY S]])/(Dashboard!$C$19+Dashboard!$C$20+Dashboard!$C$21)*100</f>
        <v/>
      </c>
      <c r="W38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2" s="46">
        <f>IFERROR(--(tblHistory[[#This Row],[Score]]&gt;=50),0)</f>
        <v/>
      </c>
      <c r="Y382" s="46">
        <f>IFERROR(--AND(tblHistory[[#This Row],[Score]]&gt;=60,OR(AND(tblHistory[[#This Row],[BIZD S]]&gt;=0.8,tblHistory[[#This Row],[BKLN S]]&gt;=0.5),tblHistory[[#This Row],[CCC S]]&gt;=0.8)),0)</f>
        <v/>
      </c>
      <c r="Z382" s="46">
        <f>IFERROR(--AND(tblHistory[[#This Row],[Score]]&gt;=70,tblHistory[[#This Row],[SOX S]]&gt;=0.83,tblHistory[[#This Row],[AIQ S]]&gt;=0.8),0)</f>
        <v/>
      </c>
      <c r="AA38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3">
      <c r="A383" s="42" t="n">
        <v>45771</v>
      </c>
      <c r="B383" s="43" t="n">
        <v>19214.4004</v>
      </c>
      <c r="C383" s="43" t="n">
        <v>4208.1899</v>
      </c>
      <c r="D383" s="43" t="n">
        <v>36.1276</v>
      </c>
      <c r="E383" s="43" t="n">
        <v>15.7072</v>
      </c>
      <c r="F383" s="44" t="n">
        <v>133</v>
      </c>
      <c r="G383" s="44" t="n">
        <v>985</v>
      </c>
      <c r="H383" s="43" t="n">
        <v>12.967</v>
      </c>
      <c r="I383" s="43" t="n">
        <v>18.7354</v>
      </c>
      <c r="J383" s="44" t="n">
        <v>373</v>
      </c>
      <c r="K38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3" s="46">
        <f>(Dashboard!$C$13*tblHistory[[#This Row],[NDX S]]+Dashboard!$C$14*tblHistory[[#This Row],[SOX S]]+Dashboard!$C$15*tblHistory[[#This Row],[AIQ S]])/(Dashboard!$C$13+Dashboard!$C$14+Dashboard!$C$15)*100</f>
        <v/>
      </c>
      <c r="U383" s="46">
        <f>(Dashboard!$C$16*tblHistory[[#This Row],[DTCR S]]+Dashboard!$C$17*tblHistory[[#This Row],[BBB S]]+Dashboard!$C$18*tblHistory[[#This Row],[CCC S]])/(Dashboard!$C$16+Dashboard!$C$17+Dashboard!$C$18)*100</f>
        <v/>
      </c>
      <c r="V383" s="46">
        <f>(Dashboard!$C$19*tblHistory[[#This Row],[BIZD S]]+Dashboard!$C$20*tblHistory[[#This Row],[BKLN S]]+Dashboard!$C$21*tblHistory[[#This Row],[HY S]])/(Dashboard!$C$19+Dashboard!$C$20+Dashboard!$C$21)*100</f>
        <v/>
      </c>
      <c r="W38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3" s="46">
        <f>IFERROR(--(tblHistory[[#This Row],[Score]]&gt;=50),0)</f>
        <v/>
      </c>
      <c r="Y383" s="46">
        <f>IFERROR(--AND(tblHistory[[#This Row],[Score]]&gt;=60,OR(AND(tblHistory[[#This Row],[BIZD S]]&gt;=0.8,tblHistory[[#This Row],[BKLN S]]&gt;=0.5),tblHistory[[#This Row],[CCC S]]&gt;=0.8)),0)</f>
        <v/>
      </c>
      <c r="Z383" s="46">
        <f>IFERROR(--AND(tblHistory[[#This Row],[Score]]&gt;=70,tblHistory[[#This Row],[SOX S]]&gt;=0.83,tblHistory[[#This Row],[AIQ S]]&gt;=0.8),0)</f>
        <v/>
      </c>
      <c r="AA38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4">
      <c r="A384" s="42" t="n">
        <v>45770</v>
      </c>
      <c r="B384" s="43" t="n">
        <v>18693.2598</v>
      </c>
      <c r="C384" s="43" t="n">
        <v>3983.9199</v>
      </c>
      <c r="D384" s="43" t="n">
        <v>35.0198</v>
      </c>
      <c r="E384" s="43" t="n">
        <v>15.5496</v>
      </c>
      <c r="F384" s="44" t="n">
        <v>135</v>
      </c>
      <c r="G384" s="44" t="n">
        <v>987</v>
      </c>
      <c r="H384" s="43" t="n">
        <v>12.8075</v>
      </c>
      <c r="I384" s="43" t="n">
        <v>18.6449</v>
      </c>
      <c r="J384" s="44" t="n">
        <v>375</v>
      </c>
      <c r="K38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4" s="46">
        <f>(Dashboard!$C$13*tblHistory[[#This Row],[NDX S]]+Dashboard!$C$14*tblHistory[[#This Row],[SOX S]]+Dashboard!$C$15*tblHistory[[#This Row],[AIQ S]])/(Dashboard!$C$13+Dashboard!$C$14+Dashboard!$C$15)*100</f>
        <v/>
      </c>
      <c r="U384" s="46">
        <f>(Dashboard!$C$16*tblHistory[[#This Row],[DTCR S]]+Dashboard!$C$17*tblHistory[[#This Row],[BBB S]]+Dashboard!$C$18*tblHistory[[#This Row],[CCC S]])/(Dashboard!$C$16+Dashboard!$C$17+Dashboard!$C$18)*100</f>
        <v/>
      </c>
      <c r="V384" s="46">
        <f>(Dashboard!$C$19*tblHistory[[#This Row],[BIZD S]]+Dashboard!$C$20*tblHistory[[#This Row],[BKLN S]]+Dashboard!$C$21*tblHistory[[#This Row],[HY S]])/(Dashboard!$C$19+Dashboard!$C$20+Dashboard!$C$21)*100</f>
        <v/>
      </c>
      <c r="W38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4" s="46">
        <f>IFERROR(--(tblHistory[[#This Row],[Score]]&gt;=50),0)</f>
        <v/>
      </c>
      <c r="Y384" s="46">
        <f>IFERROR(--AND(tblHistory[[#This Row],[Score]]&gt;=60,OR(AND(tblHistory[[#This Row],[BIZD S]]&gt;=0.8,tblHistory[[#This Row],[BKLN S]]&gt;=0.5),tblHistory[[#This Row],[CCC S]]&gt;=0.8)),0)</f>
        <v/>
      </c>
      <c r="Z384" s="46">
        <f>IFERROR(--AND(tblHistory[[#This Row],[Score]]&gt;=70,tblHistory[[#This Row],[SOX S]]&gt;=0.83,tblHistory[[#This Row],[AIQ S]]&gt;=0.8),0)</f>
        <v/>
      </c>
      <c r="AA38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5">
      <c r="A385" s="42" t="n">
        <v>45769</v>
      </c>
      <c r="B385" s="43" t="n">
        <v>18276.4102</v>
      </c>
      <c r="C385" s="43" t="n">
        <v>3832.05</v>
      </c>
      <c r="D385" s="43" t="n">
        <v>34.0418</v>
      </c>
      <c r="E385" s="43" t="n">
        <v>15.4118</v>
      </c>
      <c r="F385" s="44" t="n">
        <v>139</v>
      </c>
      <c r="G385" s="44" t="n">
        <v>1035</v>
      </c>
      <c r="H385" s="43" t="n">
        <v>12.6059</v>
      </c>
      <c r="I385" s="43" t="n">
        <v>18.5454</v>
      </c>
      <c r="J385" s="44" t="n">
        <v>399</v>
      </c>
      <c r="K38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5" s="46">
        <f>(Dashboard!$C$13*tblHistory[[#This Row],[NDX S]]+Dashboard!$C$14*tblHistory[[#This Row],[SOX S]]+Dashboard!$C$15*tblHistory[[#This Row],[AIQ S]])/(Dashboard!$C$13+Dashboard!$C$14+Dashboard!$C$15)*100</f>
        <v/>
      </c>
      <c r="U385" s="46">
        <f>(Dashboard!$C$16*tblHistory[[#This Row],[DTCR S]]+Dashboard!$C$17*tblHistory[[#This Row],[BBB S]]+Dashboard!$C$18*tblHistory[[#This Row],[CCC S]])/(Dashboard!$C$16+Dashboard!$C$17+Dashboard!$C$18)*100</f>
        <v/>
      </c>
      <c r="V385" s="46">
        <f>(Dashboard!$C$19*tblHistory[[#This Row],[BIZD S]]+Dashboard!$C$20*tblHistory[[#This Row],[BKLN S]]+Dashboard!$C$21*tblHistory[[#This Row],[HY S]])/(Dashboard!$C$19+Dashboard!$C$20+Dashboard!$C$21)*100</f>
        <v/>
      </c>
      <c r="W38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5" s="46">
        <f>IFERROR(--(tblHistory[[#This Row],[Score]]&gt;=50),0)</f>
        <v/>
      </c>
      <c r="Y385" s="46">
        <f>IFERROR(--AND(tblHistory[[#This Row],[Score]]&gt;=60,OR(AND(tblHistory[[#This Row],[BIZD S]]&gt;=0.8,tblHistory[[#This Row],[BKLN S]]&gt;=0.5),tblHistory[[#This Row],[CCC S]]&gt;=0.8)),0)</f>
        <v/>
      </c>
      <c r="Z385" s="46">
        <f>IFERROR(--AND(tblHistory[[#This Row],[Score]]&gt;=70,tblHistory[[#This Row],[SOX S]]&gt;=0.83,tblHistory[[#This Row],[AIQ S]]&gt;=0.8),0)</f>
        <v/>
      </c>
      <c r="AA38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6">
      <c r="A386" s="42" t="n">
        <v>45768</v>
      </c>
      <c r="B386" s="43" t="n">
        <v>17808.3008</v>
      </c>
      <c r="C386" s="43" t="n">
        <v>3751.9099</v>
      </c>
      <c r="D386" s="43" t="n">
        <v>33.1635</v>
      </c>
      <c r="E386" s="43" t="n">
        <v>15.0966</v>
      </c>
      <c r="F386" s="44" t="n">
        <v>140</v>
      </c>
      <c r="G386" s="44" t="n">
        <v>1058</v>
      </c>
      <c r="H386" s="43" t="n">
        <v>12.3791</v>
      </c>
      <c r="I386" s="43" t="n">
        <v>18.5183</v>
      </c>
      <c r="J386" s="44" t="n">
        <v>416</v>
      </c>
      <c r="K38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6" s="46">
        <f>(Dashboard!$C$13*tblHistory[[#This Row],[NDX S]]+Dashboard!$C$14*tblHistory[[#This Row],[SOX S]]+Dashboard!$C$15*tblHistory[[#This Row],[AIQ S]])/(Dashboard!$C$13+Dashboard!$C$14+Dashboard!$C$15)*100</f>
        <v/>
      </c>
      <c r="U386" s="46">
        <f>(Dashboard!$C$16*tblHistory[[#This Row],[DTCR S]]+Dashboard!$C$17*tblHistory[[#This Row],[BBB S]]+Dashboard!$C$18*tblHistory[[#This Row],[CCC S]])/(Dashboard!$C$16+Dashboard!$C$17+Dashboard!$C$18)*100</f>
        <v/>
      </c>
      <c r="V386" s="46">
        <f>(Dashboard!$C$19*tblHistory[[#This Row],[BIZD S]]+Dashboard!$C$20*tblHistory[[#This Row],[BKLN S]]+Dashboard!$C$21*tblHistory[[#This Row],[HY S]])/(Dashboard!$C$19+Dashboard!$C$20+Dashboard!$C$21)*100</f>
        <v/>
      </c>
      <c r="W38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6" s="46">
        <f>IFERROR(--(tblHistory[[#This Row],[Score]]&gt;=50),0)</f>
        <v/>
      </c>
      <c r="Y386" s="46">
        <f>IFERROR(--AND(tblHistory[[#This Row],[Score]]&gt;=60,OR(AND(tblHistory[[#This Row],[BIZD S]]&gt;=0.8,tblHistory[[#This Row],[BKLN S]]&gt;=0.5),tblHistory[[#This Row],[CCC S]]&gt;=0.8)),0)</f>
        <v/>
      </c>
      <c r="Z386" s="46">
        <f>IFERROR(--AND(tblHistory[[#This Row],[Score]]&gt;=70,tblHistory[[#This Row],[SOX S]]&gt;=0.83,tblHistory[[#This Row],[AIQ S]]&gt;=0.8),0)</f>
        <v/>
      </c>
      <c r="AA38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7">
      <c r="A387" s="42" t="n">
        <v>45764</v>
      </c>
      <c r="B387" s="43" t="n">
        <v>18258.0898</v>
      </c>
      <c r="C387" s="43" t="n">
        <v>3832.47</v>
      </c>
      <c r="D387" s="43" t="n">
        <v>33.8322</v>
      </c>
      <c r="E387" s="43" t="n">
        <v>15.3527</v>
      </c>
      <c r="F387" s="44" t="n">
        <v>139</v>
      </c>
      <c r="G387" s="44" t="n">
        <v>1039</v>
      </c>
      <c r="H387" s="43" t="n">
        <v>12.6479</v>
      </c>
      <c r="I387" s="43" t="n">
        <v>18.5047</v>
      </c>
      <c r="J387" s="44" t="n">
        <v>402</v>
      </c>
      <c r="K38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7" s="46">
        <f>(Dashboard!$C$13*tblHistory[[#This Row],[NDX S]]+Dashboard!$C$14*tblHistory[[#This Row],[SOX S]]+Dashboard!$C$15*tblHistory[[#This Row],[AIQ S]])/(Dashboard!$C$13+Dashboard!$C$14+Dashboard!$C$15)*100</f>
        <v/>
      </c>
      <c r="U387" s="46">
        <f>(Dashboard!$C$16*tblHistory[[#This Row],[DTCR S]]+Dashboard!$C$17*tblHistory[[#This Row],[BBB S]]+Dashboard!$C$18*tblHistory[[#This Row],[CCC S]])/(Dashboard!$C$16+Dashboard!$C$17+Dashboard!$C$18)*100</f>
        <v/>
      </c>
      <c r="V387" s="46">
        <f>(Dashboard!$C$19*tblHistory[[#This Row],[BIZD S]]+Dashboard!$C$20*tblHistory[[#This Row],[BKLN S]]+Dashboard!$C$21*tblHistory[[#This Row],[HY S]])/(Dashboard!$C$19+Dashboard!$C$20+Dashboard!$C$21)*100</f>
        <v/>
      </c>
      <c r="W38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7" s="46">
        <f>IFERROR(--(tblHistory[[#This Row],[Score]]&gt;=50),0)</f>
        <v/>
      </c>
      <c r="Y387" s="46">
        <f>IFERROR(--AND(tblHistory[[#This Row],[Score]]&gt;=60,OR(AND(tblHistory[[#This Row],[BIZD S]]&gt;=0.8,tblHistory[[#This Row],[BKLN S]]&gt;=0.5),tblHistory[[#This Row],[CCC S]]&gt;=0.8)),0)</f>
        <v/>
      </c>
      <c r="Z387" s="46">
        <f>IFERROR(--AND(tblHistory[[#This Row],[Score]]&gt;=70,tblHistory[[#This Row],[SOX S]]&gt;=0.83,tblHistory[[#This Row],[AIQ S]]&gt;=0.8),0)</f>
        <v/>
      </c>
      <c r="AA38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8">
      <c r="A388" s="42" t="n">
        <v>45763</v>
      </c>
      <c r="B388" s="43" t="n">
        <v>18257.6406</v>
      </c>
      <c r="C388" s="43" t="n">
        <v>3857.1699</v>
      </c>
      <c r="D388" s="43" t="n">
        <v>33.8322</v>
      </c>
      <c r="E388" s="43" t="n">
        <v>15.1065</v>
      </c>
      <c r="F388" s="44" t="n">
        <v>141</v>
      </c>
      <c r="G388" s="44" t="n">
        <v>1061</v>
      </c>
      <c r="H388" s="43" t="n">
        <v>12.4211</v>
      </c>
      <c r="I388" s="43" t="n">
        <v>18.4328</v>
      </c>
      <c r="J388" s="44" t="n">
        <v>416</v>
      </c>
      <c r="K38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8" s="46">
        <f>(Dashboard!$C$13*tblHistory[[#This Row],[NDX S]]+Dashboard!$C$14*tblHistory[[#This Row],[SOX S]]+Dashboard!$C$15*tblHistory[[#This Row],[AIQ S]])/(Dashboard!$C$13+Dashboard!$C$14+Dashboard!$C$15)*100</f>
        <v/>
      </c>
      <c r="U388" s="46">
        <f>(Dashboard!$C$16*tblHistory[[#This Row],[DTCR S]]+Dashboard!$C$17*tblHistory[[#This Row],[BBB S]]+Dashboard!$C$18*tblHistory[[#This Row],[CCC S]])/(Dashboard!$C$16+Dashboard!$C$17+Dashboard!$C$18)*100</f>
        <v/>
      </c>
      <c r="V388" s="46">
        <f>(Dashboard!$C$19*tblHistory[[#This Row],[BIZD S]]+Dashboard!$C$20*tblHistory[[#This Row],[BKLN S]]+Dashboard!$C$21*tblHistory[[#This Row],[HY S]])/(Dashboard!$C$19+Dashboard!$C$20+Dashboard!$C$21)*100</f>
        <v/>
      </c>
      <c r="W38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8" s="46">
        <f>IFERROR(--(tblHistory[[#This Row],[Score]]&gt;=50),0)</f>
        <v/>
      </c>
      <c r="Y388" s="46">
        <f>IFERROR(--AND(tblHistory[[#This Row],[Score]]&gt;=60,OR(AND(tblHistory[[#This Row],[BIZD S]]&gt;=0.8,tblHistory[[#This Row],[BKLN S]]&gt;=0.5),tblHistory[[#This Row],[CCC S]]&gt;=0.8)),0)</f>
        <v/>
      </c>
      <c r="Z388" s="46">
        <f>IFERROR(--AND(tblHistory[[#This Row],[Score]]&gt;=70,tblHistory[[#This Row],[SOX S]]&gt;=0.83,tblHistory[[#This Row],[AIQ S]]&gt;=0.8),0)</f>
        <v/>
      </c>
      <c r="AA38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89">
      <c r="A389" s="42" t="n">
        <v>45762</v>
      </c>
      <c r="B389" s="43" t="n">
        <v>18830.2305</v>
      </c>
      <c r="C389" s="43" t="n">
        <v>4021.8899</v>
      </c>
      <c r="D389" s="43" t="n">
        <v>34.7903</v>
      </c>
      <c r="E389" s="43" t="n">
        <v>15.3822</v>
      </c>
      <c r="F389" s="44" t="n">
        <v>142</v>
      </c>
      <c r="G389" s="44" t="n">
        <v>1050</v>
      </c>
      <c r="H389" s="43" t="n">
        <v>12.5471</v>
      </c>
      <c r="I389" s="43" t="n">
        <v>18.5227</v>
      </c>
      <c r="J389" s="44" t="n">
        <v>409</v>
      </c>
      <c r="K38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8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8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8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8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8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8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8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8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89" s="46">
        <f>(Dashboard!$C$13*tblHistory[[#This Row],[NDX S]]+Dashboard!$C$14*tblHistory[[#This Row],[SOX S]]+Dashboard!$C$15*tblHistory[[#This Row],[AIQ S]])/(Dashboard!$C$13+Dashboard!$C$14+Dashboard!$C$15)*100</f>
        <v/>
      </c>
      <c r="U389" s="46">
        <f>(Dashboard!$C$16*tblHistory[[#This Row],[DTCR S]]+Dashboard!$C$17*tblHistory[[#This Row],[BBB S]]+Dashboard!$C$18*tblHistory[[#This Row],[CCC S]])/(Dashboard!$C$16+Dashboard!$C$17+Dashboard!$C$18)*100</f>
        <v/>
      </c>
      <c r="V389" s="46">
        <f>(Dashboard!$C$19*tblHistory[[#This Row],[BIZD S]]+Dashboard!$C$20*tblHistory[[#This Row],[BKLN S]]+Dashboard!$C$21*tblHistory[[#This Row],[HY S]])/(Dashboard!$C$19+Dashboard!$C$20+Dashboard!$C$21)*100</f>
        <v/>
      </c>
      <c r="W38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89" s="46">
        <f>IFERROR(--(tblHistory[[#This Row],[Score]]&gt;=50),0)</f>
        <v/>
      </c>
      <c r="Y389" s="46">
        <f>IFERROR(--AND(tblHistory[[#This Row],[Score]]&gt;=60,OR(AND(tblHistory[[#This Row],[BIZD S]]&gt;=0.8,tblHistory[[#This Row],[BKLN S]]&gt;=0.5),tblHistory[[#This Row],[CCC S]]&gt;=0.8)),0)</f>
        <v/>
      </c>
      <c r="Z389" s="46">
        <f>IFERROR(--AND(tblHistory[[#This Row],[Score]]&gt;=70,tblHistory[[#This Row],[SOX S]]&gt;=0.83,tblHistory[[#This Row],[AIQ S]]&gt;=0.8),0)</f>
        <v/>
      </c>
      <c r="AA38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8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8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8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8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0">
      <c r="A390" s="42" t="n">
        <v>45761</v>
      </c>
      <c r="B390" s="43" t="n">
        <v>18796.0195</v>
      </c>
      <c r="C390" s="43" t="n">
        <v>4003.22</v>
      </c>
      <c r="D390" s="43" t="n">
        <v>34.6605</v>
      </c>
      <c r="E390" s="43" t="n">
        <v>15.3724</v>
      </c>
      <c r="F390" s="44" t="n">
        <v>143</v>
      </c>
      <c r="G390" s="44" t="n">
        <v>1057</v>
      </c>
      <c r="H390" s="43" t="n">
        <v>12.3959</v>
      </c>
      <c r="I390" s="43" t="n">
        <v>18.4957</v>
      </c>
      <c r="J390" s="44" t="n">
        <v>414</v>
      </c>
      <c r="K39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0" s="46">
        <f>(Dashboard!$C$13*tblHistory[[#This Row],[NDX S]]+Dashboard!$C$14*tblHistory[[#This Row],[SOX S]]+Dashboard!$C$15*tblHistory[[#This Row],[AIQ S]])/(Dashboard!$C$13+Dashboard!$C$14+Dashboard!$C$15)*100</f>
        <v/>
      </c>
      <c r="U390" s="46">
        <f>(Dashboard!$C$16*tblHistory[[#This Row],[DTCR S]]+Dashboard!$C$17*tblHistory[[#This Row],[BBB S]]+Dashboard!$C$18*tblHistory[[#This Row],[CCC S]])/(Dashboard!$C$16+Dashboard!$C$17+Dashboard!$C$18)*100</f>
        <v/>
      </c>
      <c r="V390" s="46">
        <f>(Dashboard!$C$19*tblHistory[[#This Row],[BIZD S]]+Dashboard!$C$20*tblHistory[[#This Row],[BKLN S]]+Dashboard!$C$21*tblHistory[[#This Row],[HY S]])/(Dashboard!$C$19+Dashboard!$C$20+Dashboard!$C$21)*100</f>
        <v/>
      </c>
      <c r="W39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0" s="46">
        <f>IFERROR(--(tblHistory[[#This Row],[Score]]&gt;=50),0)</f>
        <v/>
      </c>
      <c r="Y390" s="46">
        <f>IFERROR(--AND(tblHistory[[#This Row],[Score]]&gt;=60,OR(AND(tblHistory[[#This Row],[BIZD S]]&gt;=0.8,tblHistory[[#This Row],[BKLN S]]&gt;=0.5),tblHistory[[#This Row],[CCC S]]&gt;=0.8)),0)</f>
        <v/>
      </c>
      <c r="Z390" s="46">
        <f>IFERROR(--AND(tblHistory[[#This Row],[Score]]&gt;=70,tblHistory[[#This Row],[SOX S]]&gt;=0.83,tblHistory[[#This Row],[AIQ S]]&gt;=0.8),0)</f>
        <v/>
      </c>
      <c r="AA39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1">
      <c r="A391" s="42" t="n">
        <v>45758</v>
      </c>
      <c r="B391" s="43" t="n">
        <v>18690.0508</v>
      </c>
      <c r="C391" s="43" t="n">
        <v>3990.8999</v>
      </c>
      <c r="D391" s="43" t="n">
        <v>34.3811</v>
      </c>
      <c r="E391" s="43" t="n">
        <v>15.1557</v>
      </c>
      <c r="F391" s="44" t="n">
        <v>146</v>
      </c>
      <c r="G391" s="44" t="n">
        <v>1076</v>
      </c>
      <c r="H391" s="43" t="n">
        <v>12.1524</v>
      </c>
      <c r="I391" s="43" t="n">
        <v>18.4058</v>
      </c>
      <c r="J391" s="44" t="n">
        <v>426</v>
      </c>
      <c r="K39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1" s="46">
        <f>(Dashboard!$C$13*tblHistory[[#This Row],[NDX S]]+Dashboard!$C$14*tblHistory[[#This Row],[SOX S]]+Dashboard!$C$15*tblHistory[[#This Row],[AIQ S]])/(Dashboard!$C$13+Dashboard!$C$14+Dashboard!$C$15)*100</f>
        <v/>
      </c>
      <c r="U391" s="46">
        <f>(Dashboard!$C$16*tblHistory[[#This Row],[DTCR S]]+Dashboard!$C$17*tblHistory[[#This Row],[BBB S]]+Dashboard!$C$18*tblHistory[[#This Row],[CCC S]])/(Dashboard!$C$16+Dashboard!$C$17+Dashboard!$C$18)*100</f>
        <v/>
      </c>
      <c r="V391" s="46">
        <f>(Dashboard!$C$19*tblHistory[[#This Row],[BIZD S]]+Dashboard!$C$20*tblHistory[[#This Row],[BKLN S]]+Dashboard!$C$21*tblHistory[[#This Row],[HY S]])/(Dashboard!$C$19+Dashboard!$C$20+Dashboard!$C$21)*100</f>
        <v/>
      </c>
      <c r="W39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1" s="46">
        <f>IFERROR(--(tblHistory[[#This Row],[Score]]&gt;=50),0)</f>
        <v/>
      </c>
      <c r="Y391" s="46">
        <f>IFERROR(--AND(tblHistory[[#This Row],[Score]]&gt;=60,OR(AND(tblHistory[[#This Row],[BIZD S]]&gt;=0.8,tblHistory[[#This Row],[BKLN S]]&gt;=0.5),tblHistory[[#This Row],[CCC S]]&gt;=0.8)),0)</f>
        <v/>
      </c>
      <c r="Z391" s="46">
        <f>IFERROR(--AND(tblHistory[[#This Row],[Score]]&gt;=70,tblHistory[[#This Row],[SOX S]]&gt;=0.83,tblHistory[[#This Row],[AIQ S]]&gt;=0.8),0)</f>
        <v/>
      </c>
      <c r="AA39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2">
      <c r="A392" s="42" t="n">
        <v>45757</v>
      </c>
      <c r="B392" s="43" t="n">
        <v>18343.5703</v>
      </c>
      <c r="C392" s="43" t="n">
        <v>3893.3</v>
      </c>
      <c r="D392" s="43" t="n">
        <v>33.7424</v>
      </c>
      <c r="E392" s="43" t="n">
        <v>14.9095</v>
      </c>
      <c r="F392" s="44" t="n">
        <v>146</v>
      </c>
      <c r="G392" s="44" t="n">
        <v>1092</v>
      </c>
      <c r="H392" s="43" t="n">
        <v>12.1776</v>
      </c>
      <c r="I392" s="43" t="n">
        <v>18.3698</v>
      </c>
      <c r="J392" s="44" t="n">
        <v>442</v>
      </c>
      <c r="K39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2" s="46">
        <f>(Dashboard!$C$13*tblHistory[[#This Row],[NDX S]]+Dashboard!$C$14*tblHistory[[#This Row],[SOX S]]+Dashboard!$C$15*tblHistory[[#This Row],[AIQ S]])/(Dashboard!$C$13+Dashboard!$C$14+Dashboard!$C$15)*100</f>
        <v/>
      </c>
      <c r="U392" s="46">
        <f>(Dashboard!$C$16*tblHistory[[#This Row],[DTCR S]]+Dashboard!$C$17*tblHistory[[#This Row],[BBB S]]+Dashboard!$C$18*tblHistory[[#This Row],[CCC S]])/(Dashboard!$C$16+Dashboard!$C$17+Dashboard!$C$18)*100</f>
        <v/>
      </c>
      <c r="V392" s="46">
        <f>(Dashboard!$C$19*tblHistory[[#This Row],[BIZD S]]+Dashboard!$C$20*tblHistory[[#This Row],[BKLN S]]+Dashboard!$C$21*tblHistory[[#This Row],[HY S]])/(Dashboard!$C$19+Dashboard!$C$20+Dashboard!$C$21)*100</f>
        <v/>
      </c>
      <c r="W39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2" s="46">
        <f>IFERROR(--(tblHistory[[#This Row],[Score]]&gt;=50),0)</f>
        <v/>
      </c>
      <c r="Y392" s="46">
        <f>IFERROR(--AND(tblHistory[[#This Row],[Score]]&gt;=60,OR(AND(tblHistory[[#This Row],[BIZD S]]&gt;=0.8,tblHistory[[#This Row],[BKLN S]]&gt;=0.5),tblHistory[[#This Row],[CCC S]]&gt;=0.8)),0)</f>
        <v/>
      </c>
      <c r="Z392" s="46">
        <f>IFERROR(--AND(tblHistory[[#This Row],[Score]]&gt;=70,tblHistory[[#This Row],[SOX S]]&gt;=0.83,tblHistory[[#This Row],[AIQ S]]&gt;=0.8),0)</f>
        <v/>
      </c>
      <c r="AA39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3">
      <c r="A393" s="42" t="n">
        <v>45756</v>
      </c>
      <c r="B393" s="43" t="n">
        <v>19145.0605</v>
      </c>
      <c r="C393" s="43" t="n">
        <v>4230.4502</v>
      </c>
      <c r="D393" s="43" t="n">
        <v>35.2693</v>
      </c>
      <c r="E393" s="43" t="n">
        <v>15.136</v>
      </c>
      <c r="F393" s="44" t="n">
        <v>149</v>
      </c>
      <c r="G393" s="44" t="n">
        <v>1090</v>
      </c>
      <c r="H393" s="43" t="n">
        <v>12.5807</v>
      </c>
      <c r="I393" s="43" t="n">
        <v>18.5496</v>
      </c>
      <c r="J393" s="44" t="n">
        <v>437</v>
      </c>
      <c r="K39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3" s="46">
        <f>(Dashboard!$C$13*tblHistory[[#This Row],[NDX S]]+Dashboard!$C$14*tblHistory[[#This Row],[SOX S]]+Dashboard!$C$15*tblHistory[[#This Row],[AIQ S]])/(Dashboard!$C$13+Dashboard!$C$14+Dashboard!$C$15)*100</f>
        <v/>
      </c>
      <c r="U393" s="46">
        <f>(Dashboard!$C$16*tblHistory[[#This Row],[DTCR S]]+Dashboard!$C$17*tblHistory[[#This Row],[BBB S]]+Dashboard!$C$18*tblHistory[[#This Row],[CCC S]])/(Dashboard!$C$16+Dashboard!$C$17+Dashboard!$C$18)*100</f>
        <v/>
      </c>
      <c r="V393" s="46">
        <f>(Dashboard!$C$19*tblHistory[[#This Row],[BIZD S]]+Dashboard!$C$20*tblHistory[[#This Row],[BKLN S]]+Dashboard!$C$21*tblHistory[[#This Row],[HY S]])/(Dashboard!$C$19+Dashboard!$C$20+Dashboard!$C$21)*100</f>
        <v/>
      </c>
      <c r="W39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3" s="46">
        <f>IFERROR(--(tblHistory[[#This Row],[Score]]&gt;=50),0)</f>
        <v/>
      </c>
      <c r="Y393" s="46">
        <f>IFERROR(--AND(tblHistory[[#This Row],[Score]]&gt;=60,OR(AND(tblHistory[[#This Row],[BIZD S]]&gt;=0.8,tblHistory[[#This Row],[BKLN S]]&gt;=0.5),tblHistory[[#This Row],[CCC S]]&gt;=0.8)),0)</f>
        <v/>
      </c>
      <c r="Z393" s="46">
        <f>IFERROR(--AND(tblHistory[[#This Row],[Score]]&gt;=70,tblHistory[[#This Row],[SOX S]]&gt;=0.83,tblHistory[[#This Row],[AIQ S]]&gt;=0.8),0)</f>
        <v/>
      </c>
      <c r="AA39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4">
      <c r="A394" s="42" t="n">
        <v>45755</v>
      </c>
      <c r="B394" s="43" t="n">
        <v>17090.4004</v>
      </c>
      <c r="C394" s="43" t="n">
        <v>3562.9399</v>
      </c>
      <c r="D394" s="43" t="n">
        <v>31.437</v>
      </c>
      <c r="E394" s="43" t="n">
        <v>14.2103</v>
      </c>
      <c r="F394" s="44" t="n">
        <v>146</v>
      </c>
      <c r="G394" s="44" t="n">
        <v>1114</v>
      </c>
      <c r="H394" s="43" t="n">
        <v>11.7241</v>
      </c>
      <c r="I394" s="43" t="n">
        <v>18.1091</v>
      </c>
      <c r="J394" s="44" t="n">
        <v>457</v>
      </c>
      <c r="K39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4" s="46">
        <f>(Dashboard!$C$13*tblHistory[[#This Row],[NDX S]]+Dashboard!$C$14*tblHistory[[#This Row],[SOX S]]+Dashboard!$C$15*tblHistory[[#This Row],[AIQ S]])/(Dashboard!$C$13+Dashboard!$C$14+Dashboard!$C$15)*100</f>
        <v/>
      </c>
      <c r="U394" s="46">
        <f>(Dashboard!$C$16*tblHistory[[#This Row],[DTCR S]]+Dashboard!$C$17*tblHistory[[#This Row],[BBB S]]+Dashboard!$C$18*tblHistory[[#This Row],[CCC S]])/(Dashboard!$C$16+Dashboard!$C$17+Dashboard!$C$18)*100</f>
        <v/>
      </c>
      <c r="V394" s="46">
        <f>(Dashboard!$C$19*tblHistory[[#This Row],[BIZD S]]+Dashboard!$C$20*tblHistory[[#This Row],[BKLN S]]+Dashboard!$C$21*tblHistory[[#This Row],[HY S]])/(Dashboard!$C$19+Dashboard!$C$20+Dashboard!$C$21)*100</f>
        <v/>
      </c>
      <c r="W39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4" s="46">
        <f>IFERROR(--(tblHistory[[#This Row],[Score]]&gt;=50),0)</f>
        <v/>
      </c>
      <c r="Y394" s="46">
        <f>IFERROR(--AND(tblHistory[[#This Row],[Score]]&gt;=60,OR(AND(tblHistory[[#This Row],[BIZD S]]&gt;=0.8,tblHistory[[#This Row],[BKLN S]]&gt;=0.5),tblHistory[[#This Row],[CCC S]]&gt;=0.8)),0)</f>
        <v/>
      </c>
      <c r="Z394" s="46">
        <f>IFERROR(--AND(tblHistory[[#This Row],[Score]]&gt;=70,tblHistory[[#This Row],[SOX S]]&gt;=0.83,tblHistory[[#This Row],[AIQ S]]&gt;=0.8),0)</f>
        <v/>
      </c>
      <c r="AA39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5">
      <c r="A395" s="42" t="n">
        <v>45754</v>
      </c>
      <c r="B395" s="43" t="n">
        <v>17430.6797</v>
      </c>
      <c r="C395" s="43" t="n">
        <v>3694.95</v>
      </c>
      <c r="D395" s="43" t="n">
        <v>32.1057</v>
      </c>
      <c r="E395" s="43" t="n">
        <v>14.7224</v>
      </c>
      <c r="F395" s="44" t="n">
        <v>148</v>
      </c>
      <c r="G395" s="44" t="n">
        <v>1137</v>
      </c>
      <c r="H395" s="43" t="n">
        <v>11.9424</v>
      </c>
      <c r="I395" s="43" t="n">
        <v>18.0911</v>
      </c>
      <c r="J395" s="44" t="n">
        <v>461</v>
      </c>
      <c r="K39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5" s="46">
        <f>(Dashboard!$C$13*tblHistory[[#This Row],[NDX S]]+Dashboard!$C$14*tblHistory[[#This Row],[SOX S]]+Dashboard!$C$15*tblHistory[[#This Row],[AIQ S]])/(Dashboard!$C$13+Dashboard!$C$14+Dashboard!$C$15)*100</f>
        <v/>
      </c>
      <c r="U395" s="46">
        <f>(Dashboard!$C$16*tblHistory[[#This Row],[DTCR S]]+Dashboard!$C$17*tblHistory[[#This Row],[BBB S]]+Dashboard!$C$18*tblHistory[[#This Row],[CCC S]])/(Dashboard!$C$16+Dashboard!$C$17+Dashboard!$C$18)*100</f>
        <v/>
      </c>
      <c r="V395" s="46">
        <f>(Dashboard!$C$19*tblHistory[[#This Row],[BIZD S]]+Dashboard!$C$20*tblHistory[[#This Row],[BKLN S]]+Dashboard!$C$21*tblHistory[[#This Row],[HY S]])/(Dashboard!$C$19+Dashboard!$C$20+Dashboard!$C$21)*100</f>
        <v/>
      </c>
      <c r="W39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5" s="46">
        <f>IFERROR(--(tblHistory[[#This Row],[Score]]&gt;=50),0)</f>
        <v/>
      </c>
      <c r="Y395" s="46">
        <f>IFERROR(--AND(tblHistory[[#This Row],[Score]]&gt;=60,OR(AND(tblHistory[[#This Row],[BIZD S]]&gt;=0.8,tblHistory[[#This Row],[BKLN S]]&gt;=0.5),tblHistory[[#This Row],[CCC S]]&gt;=0.8)),0)</f>
        <v/>
      </c>
      <c r="Z395" s="46">
        <f>IFERROR(--AND(tblHistory[[#This Row],[Score]]&gt;=70,tblHistory[[#This Row],[SOX S]]&gt;=0.83,tblHistory[[#This Row],[AIQ S]]&gt;=0.8),0)</f>
        <v/>
      </c>
      <c r="AA39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6">
      <c r="A396" s="42" t="n">
        <v>45751</v>
      </c>
      <c r="B396" s="43" t="n">
        <v>17397.6992</v>
      </c>
      <c r="C396" s="43" t="n">
        <v>3597.6599</v>
      </c>
      <c r="D396" s="43" t="n">
        <v>32.3352</v>
      </c>
      <c r="E396" s="43" t="n">
        <v>14.9292</v>
      </c>
      <c r="F396" s="44" t="n">
        <v>141</v>
      </c>
      <c r="G396" s="44" t="n">
        <v>1099</v>
      </c>
      <c r="H396" s="43" t="n">
        <v>12.5051</v>
      </c>
      <c r="I396" s="43" t="n">
        <v>18.2799</v>
      </c>
      <c r="J396" s="44" t="n">
        <v>445</v>
      </c>
      <c r="K39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6" s="46">
        <f>(Dashboard!$C$13*tblHistory[[#This Row],[NDX S]]+Dashboard!$C$14*tblHistory[[#This Row],[SOX S]]+Dashboard!$C$15*tblHistory[[#This Row],[AIQ S]])/(Dashboard!$C$13+Dashboard!$C$14+Dashboard!$C$15)*100</f>
        <v/>
      </c>
      <c r="U396" s="46">
        <f>(Dashboard!$C$16*tblHistory[[#This Row],[DTCR S]]+Dashboard!$C$17*tblHistory[[#This Row],[BBB S]]+Dashboard!$C$18*tblHistory[[#This Row],[CCC S]])/(Dashboard!$C$16+Dashboard!$C$17+Dashboard!$C$18)*100</f>
        <v/>
      </c>
      <c r="V396" s="46">
        <f>(Dashboard!$C$19*tblHistory[[#This Row],[BIZD S]]+Dashboard!$C$20*tblHistory[[#This Row],[BKLN S]]+Dashboard!$C$21*tblHistory[[#This Row],[HY S]])/(Dashboard!$C$19+Dashboard!$C$20+Dashboard!$C$21)*100</f>
        <v/>
      </c>
      <c r="W39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6" s="46">
        <f>IFERROR(--(tblHistory[[#This Row],[Score]]&gt;=50),0)</f>
        <v/>
      </c>
      <c r="Y396" s="46">
        <f>IFERROR(--AND(tblHistory[[#This Row],[Score]]&gt;=60,OR(AND(tblHistory[[#This Row],[BIZD S]]&gt;=0.8,tblHistory[[#This Row],[BKLN S]]&gt;=0.5),tblHistory[[#This Row],[CCC S]]&gt;=0.8)),0)</f>
        <v/>
      </c>
      <c r="Z396" s="46">
        <f>IFERROR(--AND(tblHistory[[#This Row],[Score]]&gt;=70,tblHistory[[#This Row],[SOX S]]&gt;=0.83,tblHistory[[#This Row],[AIQ S]]&gt;=0.8),0)</f>
        <v/>
      </c>
      <c r="AA39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7">
      <c r="A397" s="42" t="n">
        <v>45750</v>
      </c>
      <c r="B397" s="43" t="n">
        <v>18521.4707</v>
      </c>
      <c r="C397" s="43" t="n">
        <v>3893.6899</v>
      </c>
      <c r="D397" s="43" t="n">
        <v>34.7603</v>
      </c>
      <c r="E397" s="43" t="n">
        <v>15.9731</v>
      </c>
      <c r="F397" s="44" t="n">
        <v>130</v>
      </c>
      <c r="G397" s="44" t="n">
        <v>1018</v>
      </c>
      <c r="H397" s="43" t="n">
        <v>13.5045</v>
      </c>
      <c r="I397" s="43" t="n">
        <v>18.4507</v>
      </c>
      <c r="J397" s="44" t="n">
        <v>401</v>
      </c>
      <c r="K39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7" s="46">
        <f>(Dashboard!$C$13*tblHistory[[#This Row],[NDX S]]+Dashboard!$C$14*tblHistory[[#This Row],[SOX S]]+Dashboard!$C$15*tblHistory[[#This Row],[AIQ S]])/(Dashboard!$C$13+Dashboard!$C$14+Dashboard!$C$15)*100</f>
        <v/>
      </c>
      <c r="U397" s="46">
        <f>(Dashboard!$C$16*tblHistory[[#This Row],[DTCR S]]+Dashboard!$C$17*tblHistory[[#This Row],[BBB S]]+Dashboard!$C$18*tblHistory[[#This Row],[CCC S]])/(Dashboard!$C$16+Dashboard!$C$17+Dashboard!$C$18)*100</f>
        <v/>
      </c>
      <c r="V397" s="46">
        <f>(Dashboard!$C$19*tblHistory[[#This Row],[BIZD S]]+Dashboard!$C$20*tblHistory[[#This Row],[BKLN S]]+Dashboard!$C$21*tblHistory[[#This Row],[HY S]])/(Dashboard!$C$19+Dashboard!$C$20+Dashboard!$C$21)*100</f>
        <v/>
      </c>
      <c r="W39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7" s="46">
        <f>IFERROR(--(tblHistory[[#This Row],[Score]]&gt;=50),0)</f>
        <v/>
      </c>
      <c r="Y397" s="46">
        <f>IFERROR(--AND(tblHistory[[#This Row],[Score]]&gt;=60,OR(AND(tblHistory[[#This Row],[BIZD S]]&gt;=0.8,tblHistory[[#This Row],[BKLN S]]&gt;=0.5),tblHistory[[#This Row],[CCC S]]&gt;=0.8)),0)</f>
        <v/>
      </c>
      <c r="Z397" s="46">
        <f>IFERROR(--AND(tblHistory[[#This Row],[Score]]&gt;=70,tblHistory[[#This Row],[SOX S]]&gt;=0.83,tblHistory[[#This Row],[AIQ S]]&gt;=0.8),0)</f>
        <v/>
      </c>
      <c r="AA39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8">
      <c r="A398" s="42" t="n">
        <v>45749</v>
      </c>
      <c r="B398" s="43" t="n">
        <v>19581.7793</v>
      </c>
      <c r="C398" s="43" t="n">
        <v>4320.75</v>
      </c>
      <c r="D398" s="43" t="n">
        <v>36.916</v>
      </c>
      <c r="E398" s="43" t="n">
        <v>16.3473</v>
      </c>
      <c r="F398" s="44" t="n">
        <v>119</v>
      </c>
      <c r="G398" s="44" t="n">
        <v>925</v>
      </c>
      <c r="H398" s="43" t="n">
        <v>13.7985</v>
      </c>
      <c r="I398" s="43" t="n">
        <v>18.6396</v>
      </c>
      <c r="J398" s="44" t="n">
        <v>342</v>
      </c>
      <c r="K39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8" s="46">
        <f>(Dashboard!$C$13*tblHistory[[#This Row],[NDX S]]+Dashboard!$C$14*tblHistory[[#This Row],[SOX S]]+Dashboard!$C$15*tblHistory[[#This Row],[AIQ S]])/(Dashboard!$C$13+Dashboard!$C$14+Dashboard!$C$15)*100</f>
        <v/>
      </c>
      <c r="U398" s="46">
        <f>(Dashboard!$C$16*tblHistory[[#This Row],[DTCR S]]+Dashboard!$C$17*tblHistory[[#This Row],[BBB S]]+Dashboard!$C$18*tblHistory[[#This Row],[CCC S]])/(Dashboard!$C$16+Dashboard!$C$17+Dashboard!$C$18)*100</f>
        <v/>
      </c>
      <c r="V398" s="46">
        <f>(Dashboard!$C$19*tblHistory[[#This Row],[BIZD S]]+Dashboard!$C$20*tblHistory[[#This Row],[BKLN S]]+Dashboard!$C$21*tblHistory[[#This Row],[HY S]])/(Dashboard!$C$19+Dashboard!$C$20+Dashboard!$C$21)*100</f>
        <v/>
      </c>
      <c r="W39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8" s="46">
        <f>IFERROR(--(tblHistory[[#This Row],[Score]]&gt;=50),0)</f>
        <v/>
      </c>
      <c r="Y398" s="46">
        <f>IFERROR(--AND(tblHistory[[#This Row],[Score]]&gt;=60,OR(AND(tblHistory[[#This Row],[BIZD S]]&gt;=0.8,tblHistory[[#This Row],[BKLN S]]&gt;=0.5),tblHistory[[#This Row],[CCC S]]&gt;=0.8)),0)</f>
        <v/>
      </c>
      <c r="Z398" s="46">
        <f>IFERROR(--AND(tblHistory[[#This Row],[Score]]&gt;=70,tblHistory[[#This Row],[SOX S]]&gt;=0.83,tblHistory[[#This Row],[AIQ S]]&gt;=0.8),0)</f>
        <v/>
      </c>
      <c r="AA39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399">
      <c r="A399" s="42" t="n">
        <v>45748</v>
      </c>
      <c r="B399" s="43" t="n">
        <v>19436.4199</v>
      </c>
      <c r="C399" s="43" t="n">
        <v>4282.46</v>
      </c>
      <c r="D399" s="43" t="n">
        <v>36.6466</v>
      </c>
      <c r="E399" s="43" t="n">
        <v>16.2094</v>
      </c>
      <c r="F399" s="44" t="n">
        <v>121</v>
      </c>
      <c r="G399" s="44" t="n">
        <v>925</v>
      </c>
      <c r="H399" s="43" t="n">
        <v>13.8656</v>
      </c>
      <c r="I399" s="43" t="n">
        <v>18.6396</v>
      </c>
      <c r="J399" s="44" t="n">
        <v>350</v>
      </c>
      <c r="K39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39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39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39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39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39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39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39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39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399" s="46">
        <f>(Dashboard!$C$13*tblHistory[[#This Row],[NDX S]]+Dashboard!$C$14*tblHistory[[#This Row],[SOX S]]+Dashboard!$C$15*tblHistory[[#This Row],[AIQ S]])/(Dashboard!$C$13+Dashboard!$C$14+Dashboard!$C$15)*100</f>
        <v/>
      </c>
      <c r="U399" s="46">
        <f>(Dashboard!$C$16*tblHistory[[#This Row],[DTCR S]]+Dashboard!$C$17*tblHistory[[#This Row],[BBB S]]+Dashboard!$C$18*tblHistory[[#This Row],[CCC S]])/(Dashboard!$C$16+Dashboard!$C$17+Dashboard!$C$18)*100</f>
        <v/>
      </c>
      <c r="V399" s="46">
        <f>(Dashboard!$C$19*tblHistory[[#This Row],[BIZD S]]+Dashboard!$C$20*tblHistory[[#This Row],[BKLN S]]+Dashboard!$C$21*tblHistory[[#This Row],[HY S]])/(Dashboard!$C$19+Dashboard!$C$20+Dashboard!$C$21)*100</f>
        <v/>
      </c>
      <c r="W39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399" s="46">
        <f>IFERROR(--(tblHistory[[#This Row],[Score]]&gt;=50),0)</f>
        <v/>
      </c>
      <c r="Y399" s="46">
        <f>IFERROR(--AND(tblHistory[[#This Row],[Score]]&gt;=60,OR(AND(tblHistory[[#This Row],[BIZD S]]&gt;=0.8,tblHistory[[#This Row],[BKLN S]]&gt;=0.5),tblHistory[[#This Row],[CCC S]]&gt;=0.8)),0)</f>
        <v/>
      </c>
      <c r="Z399" s="46">
        <f>IFERROR(--AND(tblHistory[[#This Row],[Score]]&gt;=70,tblHistory[[#This Row],[SOX S]]&gt;=0.83,tblHistory[[#This Row],[AIQ S]]&gt;=0.8),0)</f>
        <v/>
      </c>
      <c r="AA39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39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39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39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39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0">
      <c r="A400" s="42" t="n">
        <v>45747</v>
      </c>
      <c r="B400" s="43" t="n">
        <v>19278.4492</v>
      </c>
      <c r="C400" s="43" t="n">
        <v>4270.4302</v>
      </c>
      <c r="D400" s="43" t="n">
        <v>36.3072</v>
      </c>
      <c r="E400" s="43" t="n">
        <v>16.0125</v>
      </c>
      <c r="F400" s="44" t="n">
        <v>120</v>
      </c>
      <c r="G400" s="44" t="n">
        <v>928</v>
      </c>
      <c r="H400" s="43" t="n">
        <v>13.7145</v>
      </c>
      <c r="I400" s="43" t="n">
        <v>18.6126</v>
      </c>
      <c r="J400" s="44" t="n">
        <v>355</v>
      </c>
      <c r="K40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0" s="46">
        <f>(Dashboard!$C$13*tblHistory[[#This Row],[NDX S]]+Dashboard!$C$14*tblHistory[[#This Row],[SOX S]]+Dashboard!$C$15*tblHistory[[#This Row],[AIQ S]])/(Dashboard!$C$13+Dashboard!$C$14+Dashboard!$C$15)*100</f>
        <v/>
      </c>
      <c r="U400" s="46">
        <f>(Dashboard!$C$16*tblHistory[[#This Row],[DTCR S]]+Dashboard!$C$17*tblHistory[[#This Row],[BBB S]]+Dashboard!$C$18*tblHistory[[#This Row],[CCC S]])/(Dashboard!$C$16+Dashboard!$C$17+Dashboard!$C$18)*100</f>
        <v/>
      </c>
      <c r="V400" s="46">
        <f>(Dashboard!$C$19*tblHistory[[#This Row],[BIZD S]]+Dashboard!$C$20*tblHistory[[#This Row],[BKLN S]]+Dashboard!$C$21*tblHistory[[#This Row],[HY S]])/(Dashboard!$C$19+Dashboard!$C$20+Dashboard!$C$21)*100</f>
        <v/>
      </c>
      <c r="W40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0" s="46">
        <f>IFERROR(--(tblHistory[[#This Row],[Score]]&gt;=50),0)</f>
        <v/>
      </c>
      <c r="Y400" s="46">
        <f>IFERROR(--AND(tblHistory[[#This Row],[Score]]&gt;=60,OR(AND(tblHistory[[#This Row],[BIZD S]]&gt;=0.8,tblHistory[[#This Row],[BKLN S]]&gt;=0.5),tblHistory[[#This Row],[CCC S]]&gt;=0.8)),0)</f>
        <v/>
      </c>
      <c r="Z400" s="46">
        <f>IFERROR(--AND(tblHistory[[#This Row],[Score]]&gt;=70,tblHistory[[#This Row],[SOX S]]&gt;=0.83,tblHistory[[#This Row],[AIQ S]]&gt;=0.8),0)</f>
        <v/>
      </c>
      <c r="AA40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1">
      <c r="A401" s="42" t="n">
        <v>45744</v>
      </c>
      <c r="B401" s="43" t="n">
        <v>19281.4004</v>
      </c>
      <c r="C401" s="43" t="n">
        <v>4284.9102</v>
      </c>
      <c r="D401" s="43" t="n">
        <v>36.4669</v>
      </c>
      <c r="E401" s="43" t="n">
        <v>16.0322</v>
      </c>
      <c r="F401" s="44" t="n">
        <v>117</v>
      </c>
      <c r="G401" s="44" t="n">
        <v>888</v>
      </c>
      <c r="H401" s="43" t="n">
        <v>13.7963</v>
      </c>
      <c r="I401" s="43" t="n">
        <v>18.6216</v>
      </c>
      <c r="J401" s="44" t="n">
        <v>347</v>
      </c>
      <c r="K40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1" s="46">
        <f>(Dashboard!$C$13*tblHistory[[#This Row],[NDX S]]+Dashboard!$C$14*tblHistory[[#This Row],[SOX S]]+Dashboard!$C$15*tblHistory[[#This Row],[AIQ S]])/(Dashboard!$C$13+Dashboard!$C$14+Dashboard!$C$15)*100</f>
        <v/>
      </c>
      <c r="U401" s="46">
        <f>(Dashboard!$C$16*tblHistory[[#This Row],[DTCR S]]+Dashboard!$C$17*tblHistory[[#This Row],[BBB S]]+Dashboard!$C$18*tblHistory[[#This Row],[CCC S]])/(Dashboard!$C$16+Dashboard!$C$17+Dashboard!$C$18)*100</f>
        <v/>
      </c>
      <c r="V401" s="46">
        <f>(Dashboard!$C$19*tblHistory[[#This Row],[BIZD S]]+Dashboard!$C$20*tblHistory[[#This Row],[BKLN S]]+Dashboard!$C$21*tblHistory[[#This Row],[HY S]])/(Dashboard!$C$19+Dashboard!$C$20+Dashboard!$C$21)*100</f>
        <v/>
      </c>
      <c r="W40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1" s="46">
        <f>IFERROR(--(tblHistory[[#This Row],[Score]]&gt;=50),0)</f>
        <v/>
      </c>
      <c r="Y401" s="46">
        <f>IFERROR(--AND(tblHistory[[#This Row],[Score]]&gt;=60,OR(AND(tblHistory[[#This Row],[BIZD S]]&gt;=0.8,tblHistory[[#This Row],[BKLN S]]&gt;=0.5),tblHistory[[#This Row],[CCC S]]&gt;=0.8)),0)</f>
        <v/>
      </c>
      <c r="Z401" s="46">
        <f>IFERROR(--AND(tblHistory[[#This Row],[Score]]&gt;=70,tblHistory[[#This Row],[SOX S]]&gt;=0.83,tblHistory[[#This Row],[AIQ S]]&gt;=0.8),0)</f>
        <v/>
      </c>
      <c r="AA40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2">
      <c r="A402" s="42" t="n">
        <v>45743</v>
      </c>
      <c r="B402" s="43" t="n">
        <v>19798.6191</v>
      </c>
      <c r="C402" s="43" t="n">
        <v>4415.25</v>
      </c>
      <c r="D402" s="43" t="n">
        <v>37.5448</v>
      </c>
      <c r="E402" s="43" t="n">
        <v>16.367</v>
      </c>
      <c r="F402" s="44" t="n">
        <v>114</v>
      </c>
      <c r="G402" s="44" t="n">
        <v>860</v>
      </c>
      <c r="H402" s="43" t="n">
        <v>13.9927</v>
      </c>
      <c r="I402" s="43" t="n">
        <v>18.6845</v>
      </c>
      <c r="J402" s="44" t="n">
        <v>327</v>
      </c>
      <c r="K40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2" s="46">
        <f>(Dashboard!$C$13*tblHistory[[#This Row],[NDX S]]+Dashboard!$C$14*tblHistory[[#This Row],[SOX S]]+Dashboard!$C$15*tblHistory[[#This Row],[AIQ S]])/(Dashboard!$C$13+Dashboard!$C$14+Dashboard!$C$15)*100</f>
        <v/>
      </c>
      <c r="U402" s="46">
        <f>(Dashboard!$C$16*tblHistory[[#This Row],[DTCR S]]+Dashboard!$C$17*tblHistory[[#This Row],[BBB S]]+Dashboard!$C$18*tblHistory[[#This Row],[CCC S]])/(Dashboard!$C$16+Dashboard!$C$17+Dashboard!$C$18)*100</f>
        <v/>
      </c>
      <c r="V402" s="46">
        <f>(Dashboard!$C$19*tblHistory[[#This Row],[BIZD S]]+Dashboard!$C$20*tblHistory[[#This Row],[BKLN S]]+Dashboard!$C$21*tblHistory[[#This Row],[HY S]])/(Dashboard!$C$19+Dashboard!$C$20+Dashboard!$C$21)*100</f>
        <v/>
      </c>
      <c r="W40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2" s="46">
        <f>IFERROR(--(tblHistory[[#This Row],[Score]]&gt;=50),0)</f>
        <v/>
      </c>
      <c r="Y402" s="46">
        <f>IFERROR(--AND(tblHistory[[#This Row],[Score]]&gt;=60,OR(AND(tblHistory[[#This Row],[BIZD S]]&gt;=0.8,tblHistory[[#This Row],[BKLN S]]&gt;=0.5),tblHistory[[#This Row],[CCC S]]&gt;=0.8)),0)</f>
        <v/>
      </c>
      <c r="Z402" s="46">
        <f>IFERROR(--AND(tblHistory[[#This Row],[Score]]&gt;=70,tblHistory[[#This Row],[SOX S]]&gt;=0.83,tblHistory[[#This Row],[AIQ S]]&gt;=0.8),0)</f>
        <v/>
      </c>
      <c r="AA40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3">
      <c r="A403" s="42" t="n">
        <v>45742</v>
      </c>
      <c r="B403" s="43" t="n">
        <v>19916.9902</v>
      </c>
      <c r="C403" s="43" t="n">
        <v>4508.7402</v>
      </c>
      <c r="D403" s="43" t="n">
        <v>37.8442</v>
      </c>
      <c r="E403" s="43" t="n">
        <v>16.6132</v>
      </c>
      <c r="F403" s="44" t="n">
        <v>113</v>
      </c>
      <c r="G403" s="44" t="n">
        <v>850</v>
      </c>
      <c r="H403" s="43" t="n">
        <v>13.9027</v>
      </c>
      <c r="I403" s="43" t="n">
        <v>18.6755</v>
      </c>
      <c r="J403" s="44" t="n">
        <v>319</v>
      </c>
      <c r="K40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3" s="46">
        <f>(Dashboard!$C$13*tblHistory[[#This Row],[NDX S]]+Dashboard!$C$14*tblHistory[[#This Row],[SOX S]]+Dashboard!$C$15*tblHistory[[#This Row],[AIQ S]])/(Dashboard!$C$13+Dashboard!$C$14+Dashboard!$C$15)*100</f>
        <v/>
      </c>
      <c r="U403" s="46">
        <f>(Dashboard!$C$16*tblHistory[[#This Row],[DTCR S]]+Dashboard!$C$17*tblHistory[[#This Row],[BBB S]]+Dashboard!$C$18*tblHistory[[#This Row],[CCC S]])/(Dashboard!$C$16+Dashboard!$C$17+Dashboard!$C$18)*100</f>
        <v/>
      </c>
      <c r="V403" s="46">
        <f>(Dashboard!$C$19*tblHistory[[#This Row],[BIZD S]]+Dashboard!$C$20*tblHistory[[#This Row],[BKLN S]]+Dashboard!$C$21*tblHistory[[#This Row],[HY S]])/(Dashboard!$C$19+Dashboard!$C$20+Dashboard!$C$21)*100</f>
        <v/>
      </c>
      <c r="W40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3" s="46">
        <f>IFERROR(--(tblHistory[[#This Row],[Score]]&gt;=50),0)</f>
        <v/>
      </c>
      <c r="Y403" s="46">
        <f>IFERROR(--AND(tblHistory[[#This Row],[Score]]&gt;=60,OR(AND(tblHistory[[#This Row],[BIZD S]]&gt;=0.8,tblHistory[[#This Row],[BKLN S]]&gt;=0.5),tblHistory[[#This Row],[CCC S]]&gt;=0.8)),0)</f>
        <v/>
      </c>
      <c r="Z403" s="46">
        <f>IFERROR(--AND(tblHistory[[#This Row],[Score]]&gt;=70,tblHistory[[#This Row],[SOX S]]&gt;=0.83,tblHistory[[#This Row],[AIQ S]]&gt;=0.8),0)</f>
        <v/>
      </c>
      <c r="AA40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4">
      <c r="A404" s="42" t="n">
        <v>45741</v>
      </c>
      <c r="B404" s="43" t="n">
        <v>20287.8301</v>
      </c>
      <c r="C404" s="43" t="n">
        <v>4661.3398</v>
      </c>
      <c r="D404" s="43" t="n">
        <v>38.6126</v>
      </c>
      <c r="E404" s="43" t="n">
        <v>16.7806</v>
      </c>
      <c r="F404" s="44" t="n">
        <v>112</v>
      </c>
      <c r="G404" s="44" t="n">
        <v>838</v>
      </c>
      <c r="H404" s="43" t="n">
        <v>13.9927</v>
      </c>
      <c r="I404" s="43" t="n">
        <v>18.6845</v>
      </c>
      <c r="J404" s="44" t="n">
        <v>309</v>
      </c>
      <c r="K40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4" s="46">
        <f>(Dashboard!$C$13*tblHistory[[#This Row],[NDX S]]+Dashboard!$C$14*tblHistory[[#This Row],[SOX S]]+Dashboard!$C$15*tblHistory[[#This Row],[AIQ S]])/(Dashboard!$C$13+Dashboard!$C$14+Dashboard!$C$15)*100</f>
        <v/>
      </c>
      <c r="U404" s="46">
        <f>(Dashboard!$C$16*tblHistory[[#This Row],[DTCR S]]+Dashboard!$C$17*tblHistory[[#This Row],[BBB S]]+Dashboard!$C$18*tblHistory[[#This Row],[CCC S]])/(Dashboard!$C$16+Dashboard!$C$17+Dashboard!$C$18)*100</f>
        <v/>
      </c>
      <c r="V404" s="46">
        <f>(Dashboard!$C$19*tblHistory[[#This Row],[BIZD S]]+Dashboard!$C$20*tblHistory[[#This Row],[BKLN S]]+Dashboard!$C$21*tblHistory[[#This Row],[HY S]])/(Dashboard!$C$19+Dashboard!$C$20+Dashboard!$C$21)*100</f>
        <v/>
      </c>
      <c r="W40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4" s="46">
        <f>IFERROR(--(tblHistory[[#This Row],[Score]]&gt;=50),0)</f>
        <v/>
      </c>
      <c r="Y404" s="46">
        <f>IFERROR(--AND(tblHistory[[#This Row],[Score]]&gt;=60,OR(AND(tblHistory[[#This Row],[BIZD S]]&gt;=0.8,tblHistory[[#This Row],[BKLN S]]&gt;=0.5),tblHistory[[#This Row],[CCC S]]&gt;=0.8)),0)</f>
        <v/>
      </c>
      <c r="Z404" s="46">
        <f>IFERROR(--AND(tblHistory[[#This Row],[Score]]&gt;=70,tblHistory[[#This Row],[SOX S]]&gt;=0.83,tblHistory[[#This Row],[AIQ S]]&gt;=0.8),0)</f>
        <v/>
      </c>
      <c r="AA40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5">
      <c r="A405" s="42" t="n">
        <v>45740</v>
      </c>
      <c r="B405" s="43" t="n">
        <v>20180.4492</v>
      </c>
      <c r="C405" s="43" t="n">
        <v>4694.2202</v>
      </c>
      <c r="D405" s="43" t="n">
        <v>38.5228</v>
      </c>
      <c r="E405" s="43" t="n">
        <v>17.1351</v>
      </c>
      <c r="F405" s="44" t="n">
        <v>112</v>
      </c>
      <c r="G405" s="44" t="n">
        <v>837</v>
      </c>
      <c r="H405" s="43" t="n">
        <v>13.8781</v>
      </c>
      <c r="I405" s="43" t="n">
        <v>18.6755</v>
      </c>
      <c r="J405" s="44" t="n">
        <v>305</v>
      </c>
      <c r="K40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5" s="46">
        <f>(Dashboard!$C$13*tblHistory[[#This Row],[NDX S]]+Dashboard!$C$14*tblHistory[[#This Row],[SOX S]]+Dashboard!$C$15*tblHistory[[#This Row],[AIQ S]])/(Dashboard!$C$13+Dashboard!$C$14+Dashboard!$C$15)*100</f>
        <v/>
      </c>
      <c r="U405" s="46">
        <f>(Dashboard!$C$16*tblHistory[[#This Row],[DTCR S]]+Dashboard!$C$17*tblHistory[[#This Row],[BBB S]]+Dashboard!$C$18*tblHistory[[#This Row],[CCC S]])/(Dashboard!$C$16+Dashboard!$C$17+Dashboard!$C$18)*100</f>
        <v/>
      </c>
      <c r="V405" s="46">
        <f>(Dashboard!$C$19*tblHistory[[#This Row],[BIZD S]]+Dashboard!$C$20*tblHistory[[#This Row],[BKLN S]]+Dashboard!$C$21*tblHistory[[#This Row],[HY S]])/(Dashboard!$C$19+Dashboard!$C$20+Dashboard!$C$21)*100</f>
        <v/>
      </c>
      <c r="W40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5" s="46">
        <f>IFERROR(--(tblHistory[[#This Row],[Score]]&gt;=50),0)</f>
        <v/>
      </c>
      <c r="Y405" s="46">
        <f>IFERROR(--AND(tblHistory[[#This Row],[Score]]&gt;=60,OR(AND(tblHistory[[#This Row],[BIZD S]]&gt;=0.8,tblHistory[[#This Row],[BKLN S]]&gt;=0.5),tblHistory[[#This Row],[CCC S]]&gt;=0.8)),0)</f>
        <v/>
      </c>
      <c r="Z405" s="46">
        <f>IFERROR(--AND(tblHistory[[#This Row],[Score]]&gt;=70,tblHistory[[#This Row],[SOX S]]&gt;=0.83,tblHistory[[#This Row],[AIQ S]]&gt;=0.8),0)</f>
        <v/>
      </c>
      <c r="AA40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6">
      <c r="A406" s="42" t="n">
        <v>45737</v>
      </c>
      <c r="B406" s="43" t="n">
        <v>19753.9707</v>
      </c>
      <c r="C406" s="43" t="n">
        <v>4557.9502</v>
      </c>
      <c r="D406" s="43" t="n">
        <v>37.7643</v>
      </c>
      <c r="E406" s="43" t="n">
        <v>17.0268</v>
      </c>
      <c r="F406" s="44" t="n">
        <v>114</v>
      </c>
      <c r="G406" s="44" t="n">
        <v>860</v>
      </c>
      <c r="H406" s="43" t="n">
        <v>13.6736</v>
      </c>
      <c r="I406" s="43" t="n">
        <v>18.6504</v>
      </c>
      <c r="J406" s="44" t="n">
        <v>321</v>
      </c>
      <c r="K40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6" s="46">
        <f>(Dashboard!$C$13*tblHistory[[#This Row],[NDX S]]+Dashboard!$C$14*tblHistory[[#This Row],[SOX S]]+Dashboard!$C$15*tblHistory[[#This Row],[AIQ S]])/(Dashboard!$C$13+Dashboard!$C$14+Dashboard!$C$15)*100</f>
        <v/>
      </c>
      <c r="U406" s="46">
        <f>(Dashboard!$C$16*tblHistory[[#This Row],[DTCR S]]+Dashboard!$C$17*tblHistory[[#This Row],[BBB S]]+Dashboard!$C$18*tblHistory[[#This Row],[CCC S]])/(Dashboard!$C$16+Dashboard!$C$17+Dashboard!$C$18)*100</f>
        <v/>
      </c>
      <c r="V406" s="46">
        <f>(Dashboard!$C$19*tblHistory[[#This Row],[BIZD S]]+Dashboard!$C$20*tblHistory[[#This Row],[BKLN S]]+Dashboard!$C$21*tblHistory[[#This Row],[HY S]])/(Dashboard!$C$19+Dashboard!$C$20+Dashboard!$C$21)*100</f>
        <v/>
      </c>
      <c r="W40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6" s="46">
        <f>IFERROR(--(tblHistory[[#This Row],[Score]]&gt;=50),0)</f>
        <v/>
      </c>
      <c r="Y406" s="46">
        <f>IFERROR(--AND(tblHistory[[#This Row],[Score]]&gt;=60,OR(AND(tblHistory[[#This Row],[BIZD S]]&gt;=0.8,tblHistory[[#This Row],[BKLN S]]&gt;=0.5),tblHistory[[#This Row],[CCC S]]&gt;=0.8)),0)</f>
        <v/>
      </c>
      <c r="Z406" s="46">
        <f>IFERROR(--AND(tblHistory[[#This Row],[Score]]&gt;=70,tblHistory[[#This Row],[SOX S]]&gt;=0.83,tblHistory[[#This Row],[AIQ S]]&gt;=0.8),0)</f>
        <v/>
      </c>
      <c r="AA40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7">
      <c r="A407" s="42" t="n">
        <v>45736</v>
      </c>
      <c r="B407" s="43" t="n">
        <v>19677.6094</v>
      </c>
      <c r="C407" s="43" t="n">
        <v>4601.3701</v>
      </c>
      <c r="D407" s="43" t="n">
        <v>37.6745</v>
      </c>
      <c r="E407" s="43" t="n">
        <v>17.0563</v>
      </c>
      <c r="F407" s="44" t="n">
        <v>113</v>
      </c>
      <c r="G407" s="44" t="n">
        <v>853</v>
      </c>
      <c r="H407" s="43" t="n">
        <v>13.7308</v>
      </c>
      <c r="I407" s="43" t="n">
        <v>18.6504</v>
      </c>
      <c r="J407" s="44" t="n">
        <v>317</v>
      </c>
      <c r="K40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7" s="46">
        <f>(Dashboard!$C$13*tblHistory[[#This Row],[NDX S]]+Dashboard!$C$14*tblHistory[[#This Row],[SOX S]]+Dashboard!$C$15*tblHistory[[#This Row],[AIQ S]])/(Dashboard!$C$13+Dashboard!$C$14+Dashboard!$C$15)*100</f>
        <v/>
      </c>
      <c r="U407" s="46">
        <f>(Dashboard!$C$16*tblHistory[[#This Row],[DTCR S]]+Dashboard!$C$17*tblHistory[[#This Row],[BBB S]]+Dashboard!$C$18*tblHistory[[#This Row],[CCC S]])/(Dashboard!$C$16+Dashboard!$C$17+Dashboard!$C$18)*100</f>
        <v/>
      </c>
      <c r="V407" s="46">
        <f>(Dashboard!$C$19*tblHistory[[#This Row],[BIZD S]]+Dashboard!$C$20*tblHistory[[#This Row],[BKLN S]]+Dashboard!$C$21*tblHistory[[#This Row],[HY S]])/(Dashboard!$C$19+Dashboard!$C$20+Dashboard!$C$21)*100</f>
        <v/>
      </c>
      <c r="W40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7" s="46">
        <f>IFERROR(--(tblHistory[[#This Row],[Score]]&gt;=50),0)</f>
        <v/>
      </c>
      <c r="Y407" s="46">
        <f>IFERROR(--AND(tblHistory[[#This Row],[Score]]&gt;=60,OR(AND(tblHistory[[#This Row],[BIZD S]]&gt;=0.8,tblHistory[[#This Row],[BKLN S]]&gt;=0.5),tblHistory[[#This Row],[CCC S]]&gt;=0.8)),0)</f>
        <v/>
      </c>
      <c r="Z407" s="46">
        <f>IFERROR(--AND(tblHistory[[#This Row],[Score]]&gt;=70,tblHistory[[#This Row],[SOX S]]&gt;=0.83,tblHistory[[#This Row],[AIQ S]]&gt;=0.8),0)</f>
        <v/>
      </c>
      <c r="AA40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8">
      <c r="A408" s="42" t="n">
        <v>45735</v>
      </c>
      <c r="B408" s="43" t="n">
        <v>19736.6602</v>
      </c>
      <c r="C408" s="43" t="n">
        <v>4634.5298</v>
      </c>
      <c r="D408" s="43" t="n">
        <v>38.0737</v>
      </c>
      <c r="E408" s="43" t="n">
        <v>17.1745</v>
      </c>
      <c r="F408" s="44" t="n">
        <v>113</v>
      </c>
      <c r="G408" s="44" t="n">
        <v>856</v>
      </c>
      <c r="H408" s="43" t="n">
        <v>13.6981</v>
      </c>
      <c r="I408" s="43" t="n">
        <v>18.6146</v>
      </c>
      <c r="J408" s="44" t="n">
        <v>319</v>
      </c>
      <c r="K40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8" s="46">
        <f>(Dashboard!$C$13*tblHistory[[#This Row],[NDX S]]+Dashboard!$C$14*tblHistory[[#This Row],[SOX S]]+Dashboard!$C$15*tblHistory[[#This Row],[AIQ S]])/(Dashboard!$C$13+Dashboard!$C$14+Dashboard!$C$15)*100</f>
        <v/>
      </c>
      <c r="U408" s="46">
        <f>(Dashboard!$C$16*tblHistory[[#This Row],[DTCR S]]+Dashboard!$C$17*tblHistory[[#This Row],[BBB S]]+Dashboard!$C$18*tblHistory[[#This Row],[CCC S]])/(Dashboard!$C$16+Dashboard!$C$17+Dashboard!$C$18)*100</f>
        <v/>
      </c>
      <c r="V408" s="46">
        <f>(Dashboard!$C$19*tblHistory[[#This Row],[BIZD S]]+Dashboard!$C$20*tblHistory[[#This Row],[BKLN S]]+Dashboard!$C$21*tblHistory[[#This Row],[HY S]])/(Dashboard!$C$19+Dashboard!$C$20+Dashboard!$C$21)*100</f>
        <v/>
      </c>
      <c r="W40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8" s="46">
        <f>IFERROR(--(tblHistory[[#This Row],[Score]]&gt;=50),0)</f>
        <v/>
      </c>
      <c r="Y408" s="46">
        <f>IFERROR(--AND(tblHistory[[#This Row],[Score]]&gt;=60,OR(AND(tblHistory[[#This Row],[BIZD S]]&gt;=0.8,tblHistory[[#This Row],[BKLN S]]&gt;=0.5),tblHistory[[#This Row],[CCC S]]&gt;=0.8)),0)</f>
        <v/>
      </c>
      <c r="Z408" s="46">
        <f>IFERROR(--AND(tblHistory[[#This Row],[Score]]&gt;=70,tblHistory[[#This Row],[SOX S]]&gt;=0.83,tblHistory[[#This Row],[AIQ S]]&gt;=0.8),0)</f>
        <v/>
      </c>
      <c r="AA40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09">
      <c r="A409" s="42" t="n">
        <v>45734</v>
      </c>
      <c r="B409" s="43" t="n">
        <v>19483.3594</v>
      </c>
      <c r="C409" s="43" t="n">
        <v>4589.0298</v>
      </c>
      <c r="D409" s="43" t="n">
        <v>37.6146</v>
      </c>
      <c r="E409" s="43" t="n">
        <v>17.4207</v>
      </c>
      <c r="F409" s="44" t="n">
        <v>115</v>
      </c>
      <c r="G409" s="44" t="n">
        <v>858</v>
      </c>
      <c r="H409" s="43" t="n">
        <v>13.6981</v>
      </c>
      <c r="I409" s="43" t="n">
        <v>18.5967</v>
      </c>
      <c r="J409" s="44" t="n">
        <v>323</v>
      </c>
      <c r="K40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0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0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0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0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0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0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0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0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09" s="46">
        <f>(Dashboard!$C$13*tblHistory[[#This Row],[NDX S]]+Dashboard!$C$14*tblHistory[[#This Row],[SOX S]]+Dashboard!$C$15*tblHistory[[#This Row],[AIQ S]])/(Dashboard!$C$13+Dashboard!$C$14+Dashboard!$C$15)*100</f>
        <v/>
      </c>
      <c r="U409" s="46">
        <f>(Dashboard!$C$16*tblHistory[[#This Row],[DTCR S]]+Dashboard!$C$17*tblHistory[[#This Row],[BBB S]]+Dashboard!$C$18*tblHistory[[#This Row],[CCC S]])/(Dashboard!$C$16+Dashboard!$C$17+Dashboard!$C$18)*100</f>
        <v/>
      </c>
      <c r="V409" s="46">
        <f>(Dashboard!$C$19*tblHistory[[#This Row],[BIZD S]]+Dashboard!$C$20*tblHistory[[#This Row],[BKLN S]]+Dashboard!$C$21*tblHistory[[#This Row],[HY S]])/(Dashboard!$C$19+Dashboard!$C$20+Dashboard!$C$21)*100</f>
        <v/>
      </c>
      <c r="W40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09" s="46">
        <f>IFERROR(--(tblHistory[[#This Row],[Score]]&gt;=50),0)</f>
        <v/>
      </c>
      <c r="Y409" s="46">
        <f>IFERROR(--AND(tblHistory[[#This Row],[Score]]&gt;=60,OR(AND(tblHistory[[#This Row],[BIZD S]]&gt;=0.8,tblHistory[[#This Row],[BKLN S]]&gt;=0.5),tblHistory[[#This Row],[CCC S]]&gt;=0.8)),0)</f>
        <v/>
      </c>
      <c r="Z409" s="46">
        <f>IFERROR(--AND(tblHistory[[#This Row],[Score]]&gt;=70,tblHistory[[#This Row],[SOX S]]&gt;=0.83,tblHistory[[#This Row],[AIQ S]]&gt;=0.8),0)</f>
        <v/>
      </c>
      <c r="AA40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0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0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0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0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0">
      <c r="A410" s="42" t="n">
        <v>45733</v>
      </c>
      <c r="B410" s="43" t="n">
        <v>19812.2402</v>
      </c>
      <c r="C410" s="43" t="n">
        <v>4663.9702</v>
      </c>
      <c r="D410" s="43" t="n">
        <v>38.2234</v>
      </c>
      <c r="E410" s="43" t="n">
        <v>17.6964</v>
      </c>
      <c r="F410" s="44" t="n">
        <v>115</v>
      </c>
      <c r="G410" s="44" t="n">
        <v>846</v>
      </c>
      <c r="H410" s="43" t="n">
        <v>13.5999</v>
      </c>
      <c r="I410" s="43" t="n">
        <v>18.6146</v>
      </c>
      <c r="J410" s="44" t="n">
        <v>318</v>
      </c>
      <c r="K41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0" s="46">
        <f>(Dashboard!$C$13*tblHistory[[#This Row],[NDX S]]+Dashboard!$C$14*tblHistory[[#This Row],[SOX S]]+Dashboard!$C$15*tblHistory[[#This Row],[AIQ S]])/(Dashboard!$C$13+Dashboard!$C$14+Dashboard!$C$15)*100</f>
        <v/>
      </c>
      <c r="U410" s="46">
        <f>(Dashboard!$C$16*tblHistory[[#This Row],[DTCR S]]+Dashboard!$C$17*tblHistory[[#This Row],[BBB S]]+Dashboard!$C$18*tblHistory[[#This Row],[CCC S]])/(Dashboard!$C$16+Dashboard!$C$17+Dashboard!$C$18)*100</f>
        <v/>
      </c>
      <c r="V410" s="46">
        <f>(Dashboard!$C$19*tblHistory[[#This Row],[BIZD S]]+Dashboard!$C$20*tblHistory[[#This Row],[BKLN S]]+Dashboard!$C$21*tblHistory[[#This Row],[HY S]])/(Dashboard!$C$19+Dashboard!$C$20+Dashboard!$C$21)*100</f>
        <v/>
      </c>
      <c r="W41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0" s="46">
        <f>IFERROR(--(tblHistory[[#This Row],[Score]]&gt;=50),0)</f>
        <v/>
      </c>
      <c r="Y410" s="46">
        <f>IFERROR(--AND(tblHistory[[#This Row],[Score]]&gt;=60,OR(AND(tblHistory[[#This Row],[BIZD S]]&gt;=0.8,tblHistory[[#This Row],[BKLN S]]&gt;=0.5),tblHistory[[#This Row],[CCC S]]&gt;=0.8)),0)</f>
        <v/>
      </c>
      <c r="Z410" s="46">
        <f>IFERROR(--AND(tblHistory[[#This Row],[Score]]&gt;=70,tblHistory[[#This Row],[SOX S]]&gt;=0.83,tblHistory[[#This Row],[AIQ S]]&gt;=0.8),0)</f>
        <v/>
      </c>
      <c r="AA41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1">
      <c r="A411" s="42" t="n">
        <v>45730</v>
      </c>
      <c r="B411" s="43" t="n">
        <v>19704.6406</v>
      </c>
      <c r="C411" s="43" t="n">
        <v>4598.79</v>
      </c>
      <c r="D411" s="43" t="n">
        <v>37.6246</v>
      </c>
      <c r="E411" s="43" t="n">
        <v>17.4896</v>
      </c>
      <c r="F411" s="44" t="n">
        <v>116</v>
      </c>
      <c r="G411" s="44" t="n">
        <v>856</v>
      </c>
      <c r="H411" s="43" t="n">
        <v>13.4935</v>
      </c>
      <c r="I411" s="43" t="n">
        <v>18.6146</v>
      </c>
      <c r="J411" s="44" t="n">
        <v>325</v>
      </c>
      <c r="K41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1" s="46">
        <f>(Dashboard!$C$13*tblHistory[[#This Row],[NDX S]]+Dashboard!$C$14*tblHistory[[#This Row],[SOX S]]+Dashboard!$C$15*tblHistory[[#This Row],[AIQ S]])/(Dashboard!$C$13+Dashboard!$C$14+Dashboard!$C$15)*100</f>
        <v/>
      </c>
      <c r="U411" s="46">
        <f>(Dashboard!$C$16*tblHistory[[#This Row],[DTCR S]]+Dashboard!$C$17*tblHistory[[#This Row],[BBB S]]+Dashboard!$C$18*tblHistory[[#This Row],[CCC S]])/(Dashboard!$C$16+Dashboard!$C$17+Dashboard!$C$18)*100</f>
        <v/>
      </c>
      <c r="V411" s="46">
        <f>(Dashboard!$C$19*tblHistory[[#This Row],[BIZD S]]+Dashboard!$C$20*tblHistory[[#This Row],[BKLN S]]+Dashboard!$C$21*tblHistory[[#This Row],[HY S]])/(Dashboard!$C$19+Dashboard!$C$20+Dashboard!$C$21)*100</f>
        <v/>
      </c>
      <c r="W41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1" s="46">
        <f>IFERROR(--(tblHistory[[#This Row],[Score]]&gt;=50),0)</f>
        <v/>
      </c>
      <c r="Y411" s="46">
        <f>IFERROR(--AND(tblHistory[[#This Row],[Score]]&gt;=60,OR(AND(tblHistory[[#This Row],[BIZD S]]&gt;=0.8,tblHistory[[#This Row],[BKLN S]]&gt;=0.5),tblHistory[[#This Row],[CCC S]]&gt;=0.8)),0)</f>
        <v/>
      </c>
      <c r="Z411" s="46">
        <f>IFERROR(--AND(tblHistory[[#This Row],[Score]]&gt;=70,tblHistory[[#This Row],[SOX S]]&gt;=0.83,tblHistory[[#This Row],[AIQ S]]&gt;=0.8),0)</f>
        <v/>
      </c>
      <c r="AA41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2">
      <c r="A412" s="42" t="n">
        <v>45729</v>
      </c>
      <c r="B412" s="43" t="n">
        <v>19225.4805</v>
      </c>
      <c r="C412" s="43" t="n">
        <v>4453.2402</v>
      </c>
      <c r="D412" s="43" t="n">
        <v>36.5567</v>
      </c>
      <c r="E412" s="43" t="n">
        <v>16.8594</v>
      </c>
      <c r="F412" s="44" t="n">
        <v>120</v>
      </c>
      <c r="G412" s="44" t="n">
        <v>872</v>
      </c>
      <c r="H412" s="43" t="n">
        <v>13.2808</v>
      </c>
      <c r="I412" s="43" t="n">
        <v>18.5967</v>
      </c>
      <c r="J412" s="44" t="n">
        <v>340</v>
      </c>
      <c r="K41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2" s="46">
        <f>(Dashboard!$C$13*tblHistory[[#This Row],[NDX S]]+Dashboard!$C$14*tblHistory[[#This Row],[SOX S]]+Dashboard!$C$15*tblHistory[[#This Row],[AIQ S]])/(Dashboard!$C$13+Dashboard!$C$14+Dashboard!$C$15)*100</f>
        <v/>
      </c>
      <c r="U412" s="46">
        <f>(Dashboard!$C$16*tblHistory[[#This Row],[DTCR S]]+Dashboard!$C$17*tblHistory[[#This Row],[BBB S]]+Dashboard!$C$18*tblHistory[[#This Row],[CCC S]])/(Dashboard!$C$16+Dashboard!$C$17+Dashboard!$C$18)*100</f>
        <v/>
      </c>
      <c r="V412" s="46">
        <f>(Dashboard!$C$19*tblHistory[[#This Row],[BIZD S]]+Dashboard!$C$20*tblHistory[[#This Row],[BKLN S]]+Dashboard!$C$21*tblHistory[[#This Row],[HY S]])/(Dashboard!$C$19+Dashboard!$C$20+Dashboard!$C$21)*100</f>
        <v/>
      </c>
      <c r="W41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2" s="46">
        <f>IFERROR(--(tblHistory[[#This Row],[Score]]&gt;=50),0)</f>
        <v/>
      </c>
      <c r="Y412" s="46">
        <f>IFERROR(--AND(tblHistory[[#This Row],[Score]]&gt;=60,OR(AND(tblHistory[[#This Row],[BIZD S]]&gt;=0.8,tblHistory[[#This Row],[BKLN S]]&gt;=0.5),tblHistory[[#This Row],[CCC S]]&gt;=0.8)),0)</f>
        <v/>
      </c>
      <c r="Z412" s="46">
        <f>IFERROR(--AND(tblHistory[[#This Row],[Score]]&gt;=70,tblHistory[[#This Row],[SOX S]]&gt;=0.83,tblHistory[[#This Row],[AIQ S]]&gt;=0.8),0)</f>
        <v/>
      </c>
      <c r="AA41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3">
      <c r="A413" s="42" t="n">
        <v>45728</v>
      </c>
      <c r="B413" s="43" t="n">
        <v>19596.0195</v>
      </c>
      <c r="C413" s="43" t="n">
        <v>4481.02</v>
      </c>
      <c r="D413" s="43" t="n">
        <v>37.3851</v>
      </c>
      <c r="E413" s="43" t="n">
        <v>17.1154</v>
      </c>
      <c r="F413" s="44" t="n">
        <v>117</v>
      </c>
      <c r="G413" s="44" t="n">
        <v>841</v>
      </c>
      <c r="H413" s="43" t="n">
        <v>13.4772</v>
      </c>
      <c r="I413" s="43" t="n">
        <v>18.6414</v>
      </c>
      <c r="J413" s="44" t="n">
        <v>320</v>
      </c>
      <c r="K41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3" s="46">
        <f>(Dashboard!$C$13*tblHistory[[#This Row],[NDX S]]+Dashboard!$C$14*tblHistory[[#This Row],[SOX S]]+Dashboard!$C$15*tblHistory[[#This Row],[AIQ S]])/(Dashboard!$C$13+Dashboard!$C$14+Dashboard!$C$15)*100</f>
        <v/>
      </c>
      <c r="U413" s="46">
        <f>(Dashboard!$C$16*tblHistory[[#This Row],[DTCR S]]+Dashboard!$C$17*tblHistory[[#This Row],[BBB S]]+Dashboard!$C$18*tblHistory[[#This Row],[CCC S]])/(Dashboard!$C$16+Dashboard!$C$17+Dashboard!$C$18)*100</f>
        <v/>
      </c>
      <c r="V413" s="46">
        <f>(Dashboard!$C$19*tblHistory[[#This Row],[BIZD S]]+Dashboard!$C$20*tblHistory[[#This Row],[BKLN S]]+Dashboard!$C$21*tblHistory[[#This Row],[HY S]])/(Dashboard!$C$19+Dashboard!$C$20+Dashboard!$C$21)*100</f>
        <v/>
      </c>
      <c r="W41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3" s="46">
        <f>IFERROR(--(tblHistory[[#This Row],[Score]]&gt;=50),0)</f>
        <v/>
      </c>
      <c r="Y413" s="46">
        <f>IFERROR(--AND(tblHistory[[#This Row],[Score]]&gt;=60,OR(AND(tblHistory[[#This Row],[BIZD S]]&gt;=0.8,tblHistory[[#This Row],[BKLN S]]&gt;=0.5),tblHistory[[#This Row],[CCC S]]&gt;=0.8)),0)</f>
        <v/>
      </c>
      <c r="Z413" s="46">
        <f>IFERROR(--AND(tblHistory[[#This Row],[Score]]&gt;=70,tblHistory[[#This Row],[SOX S]]&gt;=0.83,tblHistory[[#This Row],[AIQ S]]&gt;=0.8),0)</f>
        <v/>
      </c>
      <c r="AA41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4">
      <c r="A414" s="42" t="n">
        <v>45727</v>
      </c>
      <c r="B414" s="43" t="n">
        <v>19376.9609</v>
      </c>
      <c r="C414" s="43" t="n">
        <v>4374.0698</v>
      </c>
      <c r="D414" s="43" t="n">
        <v>36.7663</v>
      </c>
      <c r="E414" s="43" t="n">
        <v>16.9972</v>
      </c>
      <c r="F414" s="44" t="n">
        <v>116</v>
      </c>
      <c r="G414" s="44" t="n">
        <v>840</v>
      </c>
      <c r="H414" s="43" t="n">
        <v>13.4935</v>
      </c>
      <c r="I414" s="43" t="n">
        <v>18.6504</v>
      </c>
      <c r="J414" s="44" t="n">
        <v>322</v>
      </c>
      <c r="K41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4" s="46">
        <f>(Dashboard!$C$13*tblHistory[[#This Row],[NDX S]]+Dashboard!$C$14*tblHistory[[#This Row],[SOX S]]+Dashboard!$C$15*tblHistory[[#This Row],[AIQ S]])/(Dashboard!$C$13+Dashboard!$C$14+Dashboard!$C$15)*100</f>
        <v/>
      </c>
      <c r="U414" s="46">
        <f>(Dashboard!$C$16*tblHistory[[#This Row],[DTCR S]]+Dashboard!$C$17*tblHistory[[#This Row],[BBB S]]+Dashboard!$C$18*tblHistory[[#This Row],[CCC S]])/(Dashboard!$C$16+Dashboard!$C$17+Dashboard!$C$18)*100</f>
        <v/>
      </c>
      <c r="V414" s="46">
        <f>(Dashboard!$C$19*tblHistory[[#This Row],[BIZD S]]+Dashboard!$C$20*tblHistory[[#This Row],[BKLN S]]+Dashboard!$C$21*tblHistory[[#This Row],[HY S]])/(Dashboard!$C$19+Dashboard!$C$20+Dashboard!$C$21)*100</f>
        <v/>
      </c>
      <c r="W41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4" s="46">
        <f>IFERROR(--(tblHistory[[#This Row],[Score]]&gt;=50),0)</f>
        <v/>
      </c>
      <c r="Y414" s="46">
        <f>IFERROR(--AND(tblHistory[[#This Row],[Score]]&gt;=60,OR(AND(tblHistory[[#This Row],[BIZD S]]&gt;=0.8,tblHistory[[#This Row],[BKLN S]]&gt;=0.5),tblHistory[[#This Row],[CCC S]]&gt;=0.8)),0)</f>
        <v/>
      </c>
      <c r="Z414" s="46">
        <f>IFERROR(--AND(tblHistory[[#This Row],[Score]]&gt;=70,tblHistory[[#This Row],[SOX S]]&gt;=0.83,tblHistory[[#This Row],[AIQ S]]&gt;=0.8),0)</f>
        <v/>
      </c>
      <c r="AA41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5">
      <c r="A415" s="42" t="n">
        <v>45726</v>
      </c>
      <c r="B415" s="43" t="n">
        <v>19430.9492</v>
      </c>
      <c r="C415" s="43" t="n">
        <v>4405.0898</v>
      </c>
      <c r="D415" s="43" t="n">
        <v>36.5368</v>
      </c>
      <c r="E415" s="43" t="n">
        <v>16.8397</v>
      </c>
      <c r="F415" s="44" t="n">
        <v>113</v>
      </c>
      <c r="G415" s="44" t="n">
        <v>826</v>
      </c>
      <c r="H415" s="43" t="n">
        <v>13.8454</v>
      </c>
      <c r="I415" s="43" t="n">
        <v>18.6504</v>
      </c>
      <c r="J415" s="44" t="n">
        <v>316</v>
      </c>
      <c r="K41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5" s="46">
        <f>(Dashboard!$C$13*tblHistory[[#This Row],[NDX S]]+Dashboard!$C$14*tblHistory[[#This Row],[SOX S]]+Dashboard!$C$15*tblHistory[[#This Row],[AIQ S]])/(Dashboard!$C$13+Dashboard!$C$14+Dashboard!$C$15)*100</f>
        <v/>
      </c>
      <c r="U415" s="46">
        <f>(Dashboard!$C$16*tblHistory[[#This Row],[DTCR S]]+Dashboard!$C$17*tblHistory[[#This Row],[BBB S]]+Dashboard!$C$18*tblHistory[[#This Row],[CCC S]])/(Dashboard!$C$16+Dashboard!$C$17+Dashboard!$C$18)*100</f>
        <v/>
      </c>
      <c r="V415" s="46">
        <f>(Dashboard!$C$19*tblHistory[[#This Row],[BIZD S]]+Dashboard!$C$20*tblHistory[[#This Row],[BKLN S]]+Dashboard!$C$21*tblHistory[[#This Row],[HY S]])/(Dashboard!$C$19+Dashboard!$C$20+Dashboard!$C$21)*100</f>
        <v/>
      </c>
      <c r="W41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5" s="46">
        <f>IFERROR(--(tblHistory[[#This Row],[Score]]&gt;=50),0)</f>
        <v/>
      </c>
      <c r="Y415" s="46">
        <f>IFERROR(--AND(tblHistory[[#This Row],[Score]]&gt;=60,OR(AND(tblHistory[[#This Row],[BIZD S]]&gt;=0.8,tblHistory[[#This Row],[BKLN S]]&gt;=0.5),tblHistory[[#This Row],[CCC S]]&gt;=0.8)),0)</f>
        <v/>
      </c>
      <c r="Z415" s="46">
        <f>IFERROR(--AND(tblHistory[[#This Row],[Score]]&gt;=70,tblHistory[[#This Row],[SOX S]]&gt;=0.83,tblHistory[[#This Row],[AIQ S]]&gt;=0.8),0)</f>
        <v/>
      </c>
      <c r="AA41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6">
      <c r="A416" s="42" t="n">
        <v>45723</v>
      </c>
      <c r="B416" s="43" t="n">
        <v>20201.3691</v>
      </c>
      <c r="C416" s="43" t="n">
        <v>4629.5898</v>
      </c>
      <c r="D416" s="43" t="n">
        <v>38.3731</v>
      </c>
      <c r="E416" s="43" t="n">
        <v>17.1647</v>
      </c>
      <c r="F416" s="44" t="n">
        <v>110</v>
      </c>
      <c r="G416" s="44" t="n">
        <v>791</v>
      </c>
      <c r="H416" s="43" t="n">
        <v>14.0091</v>
      </c>
      <c r="I416" s="43" t="n">
        <v>18.6951</v>
      </c>
      <c r="J416" s="44" t="n">
        <v>297</v>
      </c>
      <c r="K41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6" s="46">
        <f>(Dashboard!$C$13*tblHistory[[#This Row],[NDX S]]+Dashboard!$C$14*tblHistory[[#This Row],[SOX S]]+Dashboard!$C$15*tblHistory[[#This Row],[AIQ S]])/(Dashboard!$C$13+Dashboard!$C$14+Dashboard!$C$15)*100</f>
        <v/>
      </c>
      <c r="U416" s="46">
        <f>(Dashboard!$C$16*tblHistory[[#This Row],[DTCR S]]+Dashboard!$C$17*tblHistory[[#This Row],[BBB S]]+Dashboard!$C$18*tblHistory[[#This Row],[CCC S]])/(Dashboard!$C$16+Dashboard!$C$17+Dashboard!$C$18)*100</f>
        <v/>
      </c>
      <c r="V416" s="46">
        <f>(Dashboard!$C$19*tblHistory[[#This Row],[BIZD S]]+Dashboard!$C$20*tblHistory[[#This Row],[BKLN S]]+Dashboard!$C$21*tblHistory[[#This Row],[HY S]])/(Dashboard!$C$19+Dashboard!$C$20+Dashboard!$C$21)*100</f>
        <v/>
      </c>
      <c r="W41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6" s="46">
        <f>IFERROR(--(tblHistory[[#This Row],[Score]]&gt;=50),0)</f>
        <v/>
      </c>
      <c r="Y416" s="46">
        <f>IFERROR(--AND(tblHistory[[#This Row],[Score]]&gt;=60,OR(AND(tblHistory[[#This Row],[BIZD S]]&gt;=0.8,tblHistory[[#This Row],[BKLN S]]&gt;=0.5),tblHistory[[#This Row],[CCC S]]&gt;=0.8)),0)</f>
        <v/>
      </c>
      <c r="Z416" s="46">
        <f>IFERROR(--AND(tblHistory[[#This Row],[Score]]&gt;=70,tblHistory[[#This Row],[SOX S]]&gt;=0.83,tblHistory[[#This Row],[AIQ S]]&gt;=0.8),0)</f>
        <v/>
      </c>
      <c r="AA41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7">
      <c r="A417" s="42" t="n">
        <v>45722</v>
      </c>
      <c r="B417" s="43" t="n">
        <v>20052.6309</v>
      </c>
      <c r="C417" s="43" t="n">
        <v>4487.8501</v>
      </c>
      <c r="D417" s="43" t="n">
        <v>37.9739</v>
      </c>
      <c r="E417" s="43" t="n">
        <v>17.0859</v>
      </c>
      <c r="F417" s="44" t="n">
        <v>109</v>
      </c>
      <c r="G417" s="44" t="n">
        <v>790</v>
      </c>
      <c r="H417" s="43" t="n">
        <v>13.6899</v>
      </c>
      <c r="I417" s="43" t="n">
        <v>18.6772</v>
      </c>
      <c r="J417" s="44" t="n">
        <v>299</v>
      </c>
      <c r="K41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7" s="46">
        <f>(Dashboard!$C$13*tblHistory[[#This Row],[NDX S]]+Dashboard!$C$14*tblHistory[[#This Row],[SOX S]]+Dashboard!$C$15*tblHistory[[#This Row],[AIQ S]])/(Dashboard!$C$13+Dashboard!$C$14+Dashboard!$C$15)*100</f>
        <v/>
      </c>
      <c r="U417" s="46">
        <f>(Dashboard!$C$16*tblHistory[[#This Row],[DTCR S]]+Dashboard!$C$17*tblHistory[[#This Row],[BBB S]]+Dashboard!$C$18*tblHistory[[#This Row],[CCC S]])/(Dashboard!$C$16+Dashboard!$C$17+Dashboard!$C$18)*100</f>
        <v/>
      </c>
      <c r="V417" s="46">
        <f>(Dashboard!$C$19*tblHistory[[#This Row],[BIZD S]]+Dashboard!$C$20*tblHistory[[#This Row],[BKLN S]]+Dashboard!$C$21*tblHistory[[#This Row],[HY S]])/(Dashboard!$C$19+Dashboard!$C$20+Dashboard!$C$21)*100</f>
        <v/>
      </c>
      <c r="W41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7" s="46">
        <f>IFERROR(--(tblHistory[[#This Row],[Score]]&gt;=50),0)</f>
        <v/>
      </c>
      <c r="Y417" s="46">
        <f>IFERROR(--AND(tblHistory[[#This Row],[Score]]&gt;=60,OR(AND(tblHistory[[#This Row],[BIZD S]]&gt;=0.8,tblHistory[[#This Row],[BKLN S]]&gt;=0.5),tblHistory[[#This Row],[CCC S]]&gt;=0.8)),0)</f>
        <v/>
      </c>
      <c r="Z417" s="46">
        <f>IFERROR(--AND(tblHistory[[#This Row],[Score]]&gt;=70,tblHistory[[#This Row],[SOX S]]&gt;=0.83,tblHistory[[#This Row],[AIQ S]]&gt;=0.8),0)</f>
        <v/>
      </c>
      <c r="AA41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8">
      <c r="A418" s="42" t="n">
        <v>45721</v>
      </c>
      <c r="B418" s="43" t="n">
        <v>20628.4609</v>
      </c>
      <c r="C418" s="43" t="n">
        <v>4700.79</v>
      </c>
      <c r="D418" s="43" t="n">
        <v>39.1615</v>
      </c>
      <c r="E418" s="43" t="n">
        <v>17.6373</v>
      </c>
      <c r="F418" s="44" t="n">
        <v>108</v>
      </c>
      <c r="G418" s="44" t="n">
        <v>774</v>
      </c>
      <c r="H418" s="43" t="n">
        <v>13.9109</v>
      </c>
      <c r="I418" s="43" t="n">
        <v>18.704</v>
      </c>
      <c r="J418" s="44" t="n">
        <v>288</v>
      </c>
      <c r="K41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8" s="46">
        <f>(Dashboard!$C$13*tblHistory[[#This Row],[NDX S]]+Dashboard!$C$14*tblHistory[[#This Row],[SOX S]]+Dashboard!$C$15*tblHistory[[#This Row],[AIQ S]])/(Dashboard!$C$13+Dashboard!$C$14+Dashboard!$C$15)*100</f>
        <v/>
      </c>
      <c r="U418" s="46">
        <f>(Dashboard!$C$16*tblHistory[[#This Row],[DTCR S]]+Dashboard!$C$17*tblHistory[[#This Row],[BBB S]]+Dashboard!$C$18*tblHistory[[#This Row],[CCC S]])/(Dashboard!$C$16+Dashboard!$C$17+Dashboard!$C$18)*100</f>
        <v/>
      </c>
      <c r="V418" s="46">
        <f>(Dashboard!$C$19*tblHistory[[#This Row],[BIZD S]]+Dashboard!$C$20*tblHistory[[#This Row],[BKLN S]]+Dashboard!$C$21*tblHistory[[#This Row],[HY S]])/(Dashboard!$C$19+Dashboard!$C$20+Dashboard!$C$21)*100</f>
        <v/>
      </c>
      <c r="W41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8" s="46">
        <f>IFERROR(--(tblHistory[[#This Row],[Score]]&gt;=50),0)</f>
        <v/>
      </c>
      <c r="Y418" s="46">
        <f>IFERROR(--AND(tblHistory[[#This Row],[Score]]&gt;=60,OR(AND(tblHistory[[#This Row],[BIZD S]]&gt;=0.8,tblHistory[[#This Row],[BKLN S]]&gt;=0.5),tblHistory[[#This Row],[CCC S]]&gt;=0.8)),0)</f>
        <v/>
      </c>
      <c r="Z418" s="46">
        <f>IFERROR(--AND(tblHistory[[#This Row],[Score]]&gt;=70,tblHistory[[#This Row],[SOX S]]&gt;=0.83,tblHistory[[#This Row],[AIQ S]]&gt;=0.8),0)</f>
        <v/>
      </c>
      <c r="AA41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19">
      <c r="A419" s="42" t="n">
        <v>45720</v>
      </c>
      <c r="B419" s="43" t="n">
        <v>20352.5293</v>
      </c>
      <c r="C419" s="43" t="n">
        <v>4604.5098</v>
      </c>
      <c r="D419" s="43" t="n">
        <v>38.2134</v>
      </c>
      <c r="E419" s="43" t="n">
        <v>17.145</v>
      </c>
      <c r="F419" s="44" t="n">
        <v>111</v>
      </c>
      <c r="G419" s="44" t="n">
        <v>784</v>
      </c>
      <c r="H419" s="43" t="n">
        <v>14.0091</v>
      </c>
      <c r="I419" s="43" t="n">
        <v>18.6682</v>
      </c>
      <c r="J419" s="44" t="n">
        <v>299</v>
      </c>
      <c r="K41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1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1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1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1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1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1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1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1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19" s="46">
        <f>(Dashboard!$C$13*tblHistory[[#This Row],[NDX S]]+Dashboard!$C$14*tblHistory[[#This Row],[SOX S]]+Dashboard!$C$15*tblHistory[[#This Row],[AIQ S]])/(Dashboard!$C$13+Dashboard!$C$14+Dashboard!$C$15)*100</f>
        <v/>
      </c>
      <c r="U419" s="46">
        <f>(Dashboard!$C$16*tblHistory[[#This Row],[DTCR S]]+Dashboard!$C$17*tblHistory[[#This Row],[BBB S]]+Dashboard!$C$18*tblHistory[[#This Row],[CCC S]])/(Dashboard!$C$16+Dashboard!$C$17+Dashboard!$C$18)*100</f>
        <v/>
      </c>
      <c r="V419" s="46">
        <f>(Dashboard!$C$19*tblHistory[[#This Row],[BIZD S]]+Dashboard!$C$20*tblHistory[[#This Row],[BKLN S]]+Dashboard!$C$21*tblHistory[[#This Row],[HY S]])/(Dashboard!$C$19+Dashboard!$C$20+Dashboard!$C$21)*100</f>
        <v/>
      </c>
      <c r="W41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19" s="46">
        <f>IFERROR(--(tblHistory[[#This Row],[Score]]&gt;=50),0)</f>
        <v/>
      </c>
      <c r="Y419" s="46">
        <f>IFERROR(--AND(tblHistory[[#This Row],[Score]]&gt;=60,OR(AND(tblHistory[[#This Row],[BIZD S]]&gt;=0.8,tblHistory[[#This Row],[BKLN S]]&gt;=0.5),tblHistory[[#This Row],[CCC S]]&gt;=0.8)),0)</f>
        <v/>
      </c>
      <c r="Z419" s="46">
        <f>IFERROR(--AND(tblHistory[[#This Row],[Score]]&gt;=70,tblHistory[[#This Row],[SOX S]]&gt;=0.83,tblHistory[[#This Row],[AIQ S]]&gt;=0.8),0)</f>
        <v/>
      </c>
      <c r="AA41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1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1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1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1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0">
      <c r="A420" s="42" t="n">
        <v>45719</v>
      </c>
      <c r="B420" s="43" t="n">
        <v>20425.5801</v>
      </c>
      <c r="C420" s="43" t="n">
        <v>4575.3701</v>
      </c>
      <c r="D420" s="43" t="n">
        <v>38.1835</v>
      </c>
      <c r="E420" s="43" t="n">
        <v>16.9775</v>
      </c>
      <c r="F420" s="44" t="n">
        <v>110</v>
      </c>
      <c r="G420" s="44" t="n">
        <v>769</v>
      </c>
      <c r="H420" s="43" t="n">
        <v>14.2955</v>
      </c>
      <c r="I420" s="43" t="n">
        <v>18.6861</v>
      </c>
      <c r="J420" s="44" t="n">
        <v>294</v>
      </c>
      <c r="K42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0" s="46">
        <f>(Dashboard!$C$13*tblHistory[[#This Row],[NDX S]]+Dashboard!$C$14*tblHistory[[#This Row],[SOX S]]+Dashboard!$C$15*tblHistory[[#This Row],[AIQ S]])/(Dashboard!$C$13+Dashboard!$C$14+Dashboard!$C$15)*100</f>
        <v/>
      </c>
      <c r="U420" s="46">
        <f>(Dashboard!$C$16*tblHistory[[#This Row],[DTCR S]]+Dashboard!$C$17*tblHistory[[#This Row],[BBB S]]+Dashboard!$C$18*tblHistory[[#This Row],[CCC S]])/(Dashboard!$C$16+Dashboard!$C$17+Dashboard!$C$18)*100</f>
        <v/>
      </c>
      <c r="V420" s="46">
        <f>(Dashboard!$C$19*tblHistory[[#This Row],[BIZD S]]+Dashboard!$C$20*tblHistory[[#This Row],[BKLN S]]+Dashboard!$C$21*tblHistory[[#This Row],[HY S]])/(Dashboard!$C$19+Dashboard!$C$20+Dashboard!$C$21)*100</f>
        <v/>
      </c>
      <c r="W42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0" s="46">
        <f>IFERROR(--(tblHistory[[#This Row],[Score]]&gt;=50),0)</f>
        <v/>
      </c>
      <c r="Y420" s="46">
        <f>IFERROR(--AND(tblHistory[[#This Row],[Score]]&gt;=60,OR(AND(tblHistory[[#This Row],[BIZD S]]&gt;=0.8,tblHistory[[#This Row],[BKLN S]]&gt;=0.5),tblHistory[[#This Row],[CCC S]]&gt;=0.8)),0)</f>
        <v/>
      </c>
      <c r="Z420" s="46">
        <f>IFERROR(--AND(tblHistory[[#This Row],[Score]]&gt;=70,tblHistory[[#This Row],[SOX S]]&gt;=0.83,tblHistory[[#This Row],[AIQ S]]&gt;=0.8),0)</f>
        <v/>
      </c>
      <c r="AA42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1">
      <c r="A421" s="42" t="n">
        <v>45716</v>
      </c>
      <c r="B421" s="43" t="n">
        <v>20884.4102</v>
      </c>
      <c r="C421" s="43" t="n">
        <v>4766.75</v>
      </c>
      <c r="D421" s="43" t="n">
        <v>38.9919</v>
      </c>
      <c r="E421" s="43" t="n">
        <v>17.3911</v>
      </c>
      <c r="F421" s="44" t="n">
        <v>109</v>
      </c>
      <c r="G421" s="44" t="n">
        <v>760</v>
      </c>
      <c r="H421" s="43" t="n">
        <v>14.3609</v>
      </c>
      <c r="I421" s="43" t="n">
        <v>18.7487</v>
      </c>
      <c r="J421" s="44" t="n">
        <v>287</v>
      </c>
      <c r="K42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1" s="46">
        <f>(Dashboard!$C$13*tblHistory[[#This Row],[NDX S]]+Dashboard!$C$14*tblHistory[[#This Row],[SOX S]]+Dashboard!$C$15*tblHistory[[#This Row],[AIQ S]])/(Dashboard!$C$13+Dashboard!$C$14+Dashboard!$C$15)*100</f>
        <v/>
      </c>
      <c r="U421" s="46">
        <f>(Dashboard!$C$16*tblHistory[[#This Row],[DTCR S]]+Dashboard!$C$17*tblHistory[[#This Row],[BBB S]]+Dashboard!$C$18*tblHistory[[#This Row],[CCC S]])/(Dashboard!$C$16+Dashboard!$C$17+Dashboard!$C$18)*100</f>
        <v/>
      </c>
      <c r="V421" s="46">
        <f>(Dashboard!$C$19*tblHistory[[#This Row],[BIZD S]]+Dashboard!$C$20*tblHistory[[#This Row],[BKLN S]]+Dashboard!$C$21*tblHistory[[#This Row],[HY S]])/(Dashboard!$C$19+Dashboard!$C$20+Dashboard!$C$21)*100</f>
        <v/>
      </c>
      <c r="W42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1" s="46">
        <f>IFERROR(--(tblHistory[[#This Row],[Score]]&gt;=50),0)</f>
        <v/>
      </c>
      <c r="Y421" s="46">
        <f>IFERROR(--AND(tblHistory[[#This Row],[Score]]&gt;=60,OR(AND(tblHistory[[#This Row],[BIZD S]]&gt;=0.8,tblHistory[[#This Row],[BKLN S]]&gt;=0.5),tblHistory[[#This Row],[CCC S]]&gt;=0.8)),0)</f>
        <v/>
      </c>
      <c r="Z421" s="46">
        <f>IFERROR(--AND(tblHistory[[#This Row],[Score]]&gt;=70,tblHistory[[#This Row],[SOX S]]&gt;=0.83,tblHistory[[#This Row],[AIQ S]]&gt;=0.8),0)</f>
        <v/>
      </c>
      <c r="AA42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2">
      <c r="A422" s="42" t="n">
        <v>45715</v>
      </c>
      <c r="B422" s="43" t="n">
        <v>20550.9492</v>
      </c>
      <c r="C422" s="43" t="n">
        <v>4686.75</v>
      </c>
      <c r="D422" s="43" t="n">
        <v>38.8521</v>
      </c>
      <c r="E422" s="43" t="n">
        <v>17.4404</v>
      </c>
      <c r="F422" s="44" t="n">
        <v>105</v>
      </c>
      <c r="G422" s="44" t="n">
        <v>732</v>
      </c>
      <c r="H422" s="43" t="n">
        <v>14.1563</v>
      </c>
      <c r="I422" s="43" t="n">
        <v>18.7309</v>
      </c>
      <c r="J422" s="44" t="n">
        <v>281</v>
      </c>
      <c r="K42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2" s="46">
        <f>(Dashboard!$C$13*tblHistory[[#This Row],[NDX S]]+Dashboard!$C$14*tblHistory[[#This Row],[SOX S]]+Dashboard!$C$15*tblHistory[[#This Row],[AIQ S]])/(Dashboard!$C$13+Dashboard!$C$14+Dashboard!$C$15)*100</f>
        <v/>
      </c>
      <c r="U422" s="46">
        <f>(Dashboard!$C$16*tblHistory[[#This Row],[DTCR S]]+Dashboard!$C$17*tblHistory[[#This Row],[BBB S]]+Dashboard!$C$18*tblHistory[[#This Row],[CCC S]])/(Dashboard!$C$16+Dashboard!$C$17+Dashboard!$C$18)*100</f>
        <v/>
      </c>
      <c r="V422" s="46">
        <f>(Dashboard!$C$19*tblHistory[[#This Row],[BIZD S]]+Dashboard!$C$20*tblHistory[[#This Row],[BKLN S]]+Dashboard!$C$21*tblHistory[[#This Row],[HY S]])/(Dashboard!$C$19+Dashboard!$C$20+Dashboard!$C$21)*100</f>
        <v/>
      </c>
      <c r="W42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2" s="46">
        <f>IFERROR(--(tblHistory[[#This Row],[Score]]&gt;=50),0)</f>
        <v/>
      </c>
      <c r="Y422" s="46">
        <f>IFERROR(--AND(tblHistory[[#This Row],[Score]]&gt;=60,OR(AND(tblHistory[[#This Row],[BIZD S]]&gt;=0.8,tblHistory[[#This Row],[BKLN S]]&gt;=0.5),tblHistory[[#This Row],[CCC S]]&gt;=0.8)),0)</f>
        <v/>
      </c>
      <c r="Z422" s="46">
        <f>IFERROR(--AND(tblHistory[[#This Row],[Score]]&gt;=70,tblHistory[[#This Row],[SOX S]]&gt;=0.83,tblHistory[[#This Row],[AIQ S]]&gt;=0.8),0)</f>
        <v/>
      </c>
      <c r="AA42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3">
      <c r="A423" s="42" t="n">
        <v>45714</v>
      </c>
      <c r="B423" s="43" t="n">
        <v>21132.9199</v>
      </c>
      <c r="C423" s="43" t="n">
        <v>4990.8198</v>
      </c>
      <c r="D423" s="43" t="n">
        <v>40.0098</v>
      </c>
      <c r="E423" s="43" t="n">
        <v>17.8835</v>
      </c>
      <c r="F423" s="44" t="n">
        <v>104</v>
      </c>
      <c r="G423" s="44" t="n">
        <v>732</v>
      </c>
      <c r="H423" s="43" t="n">
        <v>14.1563</v>
      </c>
      <c r="I423" s="43" t="n">
        <v>18.7309</v>
      </c>
      <c r="J423" s="44" t="n">
        <v>281</v>
      </c>
      <c r="K42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3" s="46">
        <f>(Dashboard!$C$13*tblHistory[[#This Row],[NDX S]]+Dashboard!$C$14*tblHistory[[#This Row],[SOX S]]+Dashboard!$C$15*tblHistory[[#This Row],[AIQ S]])/(Dashboard!$C$13+Dashboard!$C$14+Dashboard!$C$15)*100</f>
        <v/>
      </c>
      <c r="U423" s="46">
        <f>(Dashboard!$C$16*tblHistory[[#This Row],[DTCR S]]+Dashboard!$C$17*tblHistory[[#This Row],[BBB S]]+Dashboard!$C$18*tblHistory[[#This Row],[CCC S]])/(Dashboard!$C$16+Dashboard!$C$17+Dashboard!$C$18)*100</f>
        <v/>
      </c>
      <c r="V423" s="46">
        <f>(Dashboard!$C$19*tblHistory[[#This Row],[BIZD S]]+Dashboard!$C$20*tblHistory[[#This Row],[BKLN S]]+Dashboard!$C$21*tblHistory[[#This Row],[HY S]])/(Dashboard!$C$19+Dashboard!$C$20+Dashboard!$C$21)*100</f>
        <v/>
      </c>
      <c r="W42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3" s="46">
        <f>IFERROR(--(tblHistory[[#This Row],[Score]]&gt;=50),0)</f>
        <v/>
      </c>
      <c r="Y423" s="46">
        <f>IFERROR(--AND(tblHistory[[#This Row],[Score]]&gt;=60,OR(AND(tblHistory[[#This Row],[BIZD S]]&gt;=0.8,tblHistory[[#This Row],[BKLN S]]&gt;=0.5),tblHistory[[#This Row],[CCC S]]&gt;=0.8)),0)</f>
        <v/>
      </c>
      <c r="Z423" s="46">
        <f>IFERROR(--AND(tblHistory[[#This Row],[Score]]&gt;=70,tblHistory[[#This Row],[SOX S]]&gt;=0.83,tblHistory[[#This Row],[AIQ S]]&gt;=0.8),0)</f>
        <v/>
      </c>
      <c r="AA42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4">
      <c r="A424" s="42" t="n">
        <v>45713</v>
      </c>
      <c r="B424" s="43" t="n">
        <v>21087.25</v>
      </c>
      <c r="C424" s="43" t="n">
        <v>4888.8799</v>
      </c>
      <c r="D424" s="43" t="n">
        <v>39.6805</v>
      </c>
      <c r="E424" s="43" t="n">
        <v>17.8048</v>
      </c>
      <c r="F424" s="44" t="n">
        <v>103</v>
      </c>
      <c r="G424" s="44" t="n">
        <v>742</v>
      </c>
      <c r="H424" s="43" t="n">
        <v>14.32</v>
      </c>
      <c r="I424" s="43" t="n">
        <v>18.713</v>
      </c>
      <c r="J424" s="44" t="n">
        <v>284</v>
      </c>
      <c r="K42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4" s="46">
        <f>(Dashboard!$C$13*tblHistory[[#This Row],[NDX S]]+Dashboard!$C$14*tblHistory[[#This Row],[SOX S]]+Dashboard!$C$15*tblHistory[[#This Row],[AIQ S]])/(Dashboard!$C$13+Dashboard!$C$14+Dashboard!$C$15)*100</f>
        <v/>
      </c>
      <c r="U424" s="46">
        <f>(Dashboard!$C$16*tblHistory[[#This Row],[DTCR S]]+Dashboard!$C$17*tblHistory[[#This Row],[BBB S]]+Dashboard!$C$18*tblHistory[[#This Row],[CCC S]])/(Dashboard!$C$16+Dashboard!$C$17+Dashboard!$C$18)*100</f>
        <v/>
      </c>
      <c r="V424" s="46">
        <f>(Dashboard!$C$19*tblHistory[[#This Row],[BIZD S]]+Dashboard!$C$20*tblHistory[[#This Row],[BKLN S]]+Dashboard!$C$21*tblHistory[[#This Row],[HY S]])/(Dashboard!$C$19+Dashboard!$C$20+Dashboard!$C$21)*100</f>
        <v/>
      </c>
      <c r="W42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4" s="46">
        <f>IFERROR(--(tblHistory[[#This Row],[Score]]&gt;=50),0)</f>
        <v/>
      </c>
      <c r="Y424" s="46">
        <f>IFERROR(--AND(tblHistory[[#This Row],[Score]]&gt;=60,OR(AND(tblHistory[[#This Row],[BIZD S]]&gt;=0.8,tblHistory[[#This Row],[BKLN S]]&gt;=0.5),tblHistory[[#This Row],[CCC S]]&gt;=0.8)),0)</f>
        <v/>
      </c>
      <c r="Z424" s="46">
        <f>IFERROR(--AND(tblHistory[[#This Row],[Score]]&gt;=70,tblHistory[[#This Row],[SOX S]]&gt;=0.83,tblHistory[[#This Row],[AIQ S]]&gt;=0.8),0)</f>
        <v/>
      </c>
      <c r="AA42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5">
      <c r="A425" s="42" t="n">
        <v>45712</v>
      </c>
      <c r="B425" s="43" t="n">
        <v>21352.0801</v>
      </c>
      <c r="C425" s="43" t="n">
        <v>5003.54</v>
      </c>
      <c r="D425" s="43" t="n">
        <v>40.2294</v>
      </c>
      <c r="E425" s="43" t="n">
        <v>17.9426</v>
      </c>
      <c r="F425" s="44" t="n">
        <v>101</v>
      </c>
      <c r="G425" s="44" t="n">
        <v>731</v>
      </c>
      <c r="H425" s="43" t="n">
        <v>14.3855</v>
      </c>
      <c r="I425" s="43" t="n">
        <v>18.713</v>
      </c>
      <c r="J425" s="44" t="n">
        <v>278</v>
      </c>
      <c r="K42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5" s="46">
        <f>(Dashboard!$C$13*tblHistory[[#This Row],[NDX S]]+Dashboard!$C$14*tblHistory[[#This Row],[SOX S]]+Dashboard!$C$15*tblHistory[[#This Row],[AIQ S]])/(Dashboard!$C$13+Dashboard!$C$14+Dashboard!$C$15)*100</f>
        <v/>
      </c>
      <c r="U425" s="46">
        <f>(Dashboard!$C$16*tblHistory[[#This Row],[DTCR S]]+Dashboard!$C$17*tblHistory[[#This Row],[BBB S]]+Dashboard!$C$18*tblHistory[[#This Row],[CCC S]])/(Dashboard!$C$16+Dashboard!$C$17+Dashboard!$C$18)*100</f>
        <v/>
      </c>
      <c r="V425" s="46">
        <f>(Dashboard!$C$19*tblHistory[[#This Row],[BIZD S]]+Dashboard!$C$20*tblHistory[[#This Row],[BKLN S]]+Dashboard!$C$21*tblHistory[[#This Row],[HY S]])/(Dashboard!$C$19+Dashboard!$C$20+Dashboard!$C$21)*100</f>
        <v/>
      </c>
      <c r="W42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5" s="46">
        <f>IFERROR(--(tblHistory[[#This Row],[Score]]&gt;=50),0)</f>
        <v/>
      </c>
      <c r="Y425" s="46">
        <f>IFERROR(--AND(tblHistory[[#This Row],[Score]]&gt;=60,OR(AND(tblHistory[[#This Row],[BIZD S]]&gt;=0.8,tblHistory[[#This Row],[BKLN S]]&gt;=0.5),tblHistory[[#This Row],[CCC S]]&gt;=0.8)),0)</f>
        <v/>
      </c>
      <c r="Z425" s="46">
        <f>IFERROR(--AND(tblHistory[[#This Row],[Score]]&gt;=70,tblHistory[[#This Row],[SOX S]]&gt;=0.83,tblHistory[[#This Row],[AIQ S]]&gt;=0.8),0)</f>
        <v/>
      </c>
      <c r="AA42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6">
      <c r="A426" s="42" t="n">
        <v>45709</v>
      </c>
      <c r="B426" s="43" t="n">
        <v>21614.0801</v>
      </c>
      <c r="C426" s="43" t="n">
        <v>5136.5898</v>
      </c>
      <c r="D426" s="43" t="n">
        <v>41.1575</v>
      </c>
      <c r="E426" s="43" t="n">
        <v>18.6024</v>
      </c>
      <c r="F426" s="44" t="n">
        <v>101</v>
      </c>
      <c r="G426" s="44" t="n">
        <v>734</v>
      </c>
      <c r="H426" s="43" t="n">
        <v>14.4673</v>
      </c>
      <c r="I426" s="43" t="n">
        <v>18.7201</v>
      </c>
      <c r="J426" s="44" t="n">
        <v>278</v>
      </c>
      <c r="K42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6" s="46">
        <f>(Dashboard!$C$13*tblHistory[[#This Row],[NDX S]]+Dashboard!$C$14*tblHistory[[#This Row],[SOX S]]+Dashboard!$C$15*tblHistory[[#This Row],[AIQ S]])/(Dashboard!$C$13+Dashboard!$C$14+Dashboard!$C$15)*100</f>
        <v/>
      </c>
      <c r="U426" s="46">
        <f>(Dashboard!$C$16*tblHistory[[#This Row],[DTCR S]]+Dashboard!$C$17*tblHistory[[#This Row],[BBB S]]+Dashboard!$C$18*tblHistory[[#This Row],[CCC S]])/(Dashboard!$C$16+Dashboard!$C$17+Dashboard!$C$18)*100</f>
        <v/>
      </c>
      <c r="V426" s="46">
        <f>(Dashboard!$C$19*tblHistory[[#This Row],[BIZD S]]+Dashboard!$C$20*tblHistory[[#This Row],[BKLN S]]+Dashboard!$C$21*tblHistory[[#This Row],[HY S]])/(Dashboard!$C$19+Dashboard!$C$20+Dashboard!$C$21)*100</f>
        <v/>
      </c>
      <c r="W42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6" s="46">
        <f>IFERROR(--(tblHistory[[#This Row],[Score]]&gt;=50),0)</f>
        <v/>
      </c>
      <c r="Y426" s="46">
        <f>IFERROR(--AND(tblHistory[[#This Row],[Score]]&gt;=60,OR(AND(tblHistory[[#This Row],[BIZD S]]&gt;=0.8,tblHistory[[#This Row],[BKLN S]]&gt;=0.5),tblHistory[[#This Row],[CCC S]]&gt;=0.8)),0)</f>
        <v/>
      </c>
      <c r="Z426" s="46">
        <f>IFERROR(--AND(tblHistory[[#This Row],[Score]]&gt;=70,tblHistory[[#This Row],[SOX S]]&gt;=0.83,tblHistory[[#This Row],[AIQ S]]&gt;=0.8),0)</f>
        <v/>
      </c>
      <c r="AA42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7">
      <c r="A427" s="42" t="n">
        <v>45708</v>
      </c>
      <c r="B427" s="43" t="n">
        <v>22068.0605</v>
      </c>
      <c r="C427" s="43" t="n">
        <v>5310.6299</v>
      </c>
      <c r="D427" s="43" t="n">
        <v>42.1455</v>
      </c>
      <c r="E427" s="43" t="n">
        <v>18.9373</v>
      </c>
      <c r="F427" s="44" t="n">
        <v>99</v>
      </c>
      <c r="G427" s="44" t="n">
        <v>719</v>
      </c>
      <c r="H427" s="43" t="n">
        <v>14.5</v>
      </c>
      <c r="I427" s="43" t="n">
        <v>18.7468</v>
      </c>
      <c r="J427" s="44" t="n">
        <v>266</v>
      </c>
      <c r="K42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7" s="46">
        <f>(Dashboard!$C$13*tblHistory[[#This Row],[NDX S]]+Dashboard!$C$14*tblHistory[[#This Row],[SOX S]]+Dashboard!$C$15*tblHistory[[#This Row],[AIQ S]])/(Dashboard!$C$13+Dashboard!$C$14+Dashboard!$C$15)*100</f>
        <v/>
      </c>
      <c r="U427" s="46">
        <f>(Dashboard!$C$16*tblHistory[[#This Row],[DTCR S]]+Dashboard!$C$17*tblHistory[[#This Row],[BBB S]]+Dashboard!$C$18*tblHistory[[#This Row],[CCC S]])/(Dashboard!$C$16+Dashboard!$C$17+Dashboard!$C$18)*100</f>
        <v/>
      </c>
      <c r="V427" s="46">
        <f>(Dashboard!$C$19*tblHistory[[#This Row],[BIZD S]]+Dashboard!$C$20*tblHistory[[#This Row],[BKLN S]]+Dashboard!$C$21*tblHistory[[#This Row],[HY S]])/(Dashboard!$C$19+Dashboard!$C$20+Dashboard!$C$21)*100</f>
        <v/>
      </c>
      <c r="W42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7" s="46">
        <f>IFERROR(--(tblHistory[[#This Row],[Score]]&gt;=50),0)</f>
        <v/>
      </c>
      <c r="Y427" s="46">
        <f>IFERROR(--AND(tblHistory[[#This Row],[Score]]&gt;=60,OR(AND(tblHistory[[#This Row],[BIZD S]]&gt;=0.8,tblHistory[[#This Row],[BKLN S]]&gt;=0.5),tblHistory[[#This Row],[CCC S]]&gt;=0.8)),0)</f>
        <v/>
      </c>
      <c r="Z427" s="46">
        <f>IFERROR(--AND(tblHistory[[#This Row],[Score]]&gt;=70,tblHistory[[#This Row],[SOX S]]&gt;=0.83,tblHistory[[#This Row],[AIQ S]]&gt;=0.8),0)</f>
        <v/>
      </c>
      <c r="AA42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8">
      <c r="A428" s="42" t="n">
        <v>45707</v>
      </c>
      <c r="B428" s="43" t="n">
        <v>22175.5996</v>
      </c>
      <c r="C428" s="43" t="n">
        <v>5309.6899</v>
      </c>
      <c r="D428" s="43" t="n">
        <v>42.3851</v>
      </c>
      <c r="E428" s="43" t="n">
        <v>18.5236</v>
      </c>
      <c r="F428" s="44" t="n">
        <v>99</v>
      </c>
      <c r="G428" s="44" t="n">
        <v>725</v>
      </c>
      <c r="H428" s="43" t="n">
        <v>14.5819</v>
      </c>
      <c r="I428" s="43" t="n">
        <v>18.7557</v>
      </c>
      <c r="J428" s="44" t="n">
        <v>268</v>
      </c>
      <c r="K42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8" s="46">
        <f>(Dashboard!$C$13*tblHistory[[#This Row],[NDX S]]+Dashboard!$C$14*tblHistory[[#This Row],[SOX S]]+Dashboard!$C$15*tblHistory[[#This Row],[AIQ S]])/(Dashboard!$C$13+Dashboard!$C$14+Dashboard!$C$15)*100</f>
        <v/>
      </c>
      <c r="U428" s="46">
        <f>(Dashboard!$C$16*tblHistory[[#This Row],[DTCR S]]+Dashboard!$C$17*tblHistory[[#This Row],[BBB S]]+Dashboard!$C$18*tblHistory[[#This Row],[CCC S]])/(Dashboard!$C$16+Dashboard!$C$17+Dashboard!$C$18)*100</f>
        <v/>
      </c>
      <c r="V428" s="46">
        <f>(Dashboard!$C$19*tblHistory[[#This Row],[BIZD S]]+Dashboard!$C$20*tblHistory[[#This Row],[BKLN S]]+Dashboard!$C$21*tblHistory[[#This Row],[HY S]])/(Dashboard!$C$19+Dashboard!$C$20+Dashboard!$C$21)*100</f>
        <v/>
      </c>
      <c r="W42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8" s="46">
        <f>IFERROR(--(tblHistory[[#This Row],[Score]]&gt;=50),0)</f>
        <v/>
      </c>
      <c r="Y428" s="46">
        <f>IFERROR(--AND(tblHistory[[#This Row],[Score]]&gt;=60,OR(AND(tblHistory[[#This Row],[BIZD S]]&gt;=0.8,tblHistory[[#This Row],[BKLN S]]&gt;=0.5),tblHistory[[#This Row],[CCC S]]&gt;=0.8)),0)</f>
        <v/>
      </c>
      <c r="Z428" s="46">
        <f>IFERROR(--AND(tblHistory[[#This Row],[Score]]&gt;=70,tblHistory[[#This Row],[SOX S]]&gt;=0.83,tblHistory[[#This Row],[AIQ S]]&gt;=0.8),0)</f>
        <v/>
      </c>
      <c r="AA42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29">
      <c r="A429" s="42" t="n">
        <v>45706</v>
      </c>
      <c r="B429" s="43" t="n">
        <v>22164.6094</v>
      </c>
      <c r="C429" s="43" t="n">
        <v>5247.8599</v>
      </c>
      <c r="D429" s="43" t="n">
        <v>42.6845</v>
      </c>
      <c r="E429" s="43" t="n">
        <v>18.2971</v>
      </c>
      <c r="F429" s="44" t="n">
        <v>98</v>
      </c>
      <c r="G429" s="44" t="n">
        <v>721</v>
      </c>
      <c r="H429" s="43" t="n">
        <v>14.5328</v>
      </c>
      <c r="I429" s="43" t="n">
        <v>18.7557</v>
      </c>
      <c r="J429" s="44" t="n">
        <v>262</v>
      </c>
      <c r="K42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2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2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2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2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2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2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2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2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29" s="46">
        <f>(Dashboard!$C$13*tblHistory[[#This Row],[NDX S]]+Dashboard!$C$14*tblHistory[[#This Row],[SOX S]]+Dashboard!$C$15*tblHistory[[#This Row],[AIQ S]])/(Dashboard!$C$13+Dashboard!$C$14+Dashboard!$C$15)*100</f>
        <v/>
      </c>
      <c r="U429" s="46">
        <f>(Dashboard!$C$16*tblHistory[[#This Row],[DTCR S]]+Dashboard!$C$17*tblHistory[[#This Row],[BBB S]]+Dashboard!$C$18*tblHistory[[#This Row],[CCC S]])/(Dashboard!$C$16+Dashboard!$C$17+Dashboard!$C$18)*100</f>
        <v/>
      </c>
      <c r="V429" s="46">
        <f>(Dashboard!$C$19*tblHistory[[#This Row],[BIZD S]]+Dashboard!$C$20*tblHistory[[#This Row],[BKLN S]]+Dashboard!$C$21*tblHistory[[#This Row],[HY S]])/(Dashboard!$C$19+Dashboard!$C$20+Dashboard!$C$21)*100</f>
        <v/>
      </c>
      <c r="W42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29" s="46">
        <f>IFERROR(--(tblHistory[[#This Row],[Score]]&gt;=50),0)</f>
        <v/>
      </c>
      <c r="Y429" s="46">
        <f>IFERROR(--AND(tblHistory[[#This Row],[Score]]&gt;=60,OR(AND(tblHistory[[#This Row],[BIZD S]]&gt;=0.8,tblHistory[[#This Row],[BKLN S]]&gt;=0.5),tblHistory[[#This Row],[CCC S]]&gt;=0.8)),0)</f>
        <v/>
      </c>
      <c r="Z429" s="46">
        <f>IFERROR(--AND(tblHistory[[#This Row],[Score]]&gt;=70,tblHistory[[#This Row],[SOX S]]&gt;=0.83,tblHistory[[#This Row],[AIQ S]]&gt;=0.8),0)</f>
        <v/>
      </c>
      <c r="AA42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2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2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2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2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0">
      <c r="A430" s="42" t="n">
        <v>45702</v>
      </c>
      <c r="B430" s="43" t="n">
        <v>22114.6895</v>
      </c>
      <c r="C430" s="43" t="n">
        <v>5160.9399</v>
      </c>
      <c r="D430" s="43" t="n">
        <v>42.3252</v>
      </c>
      <c r="E430" s="43" t="n">
        <v>17.9131</v>
      </c>
      <c r="F430" s="44" t="n">
        <v>100</v>
      </c>
      <c r="G430" s="44" t="n">
        <v>706</v>
      </c>
      <c r="H430" s="43" t="n">
        <v>14.4018</v>
      </c>
      <c r="I430" s="43" t="n">
        <v>18.7468</v>
      </c>
      <c r="J430" s="44" t="n">
        <v>262</v>
      </c>
      <c r="K43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0" s="46">
        <f>(Dashboard!$C$13*tblHistory[[#This Row],[NDX S]]+Dashboard!$C$14*tblHistory[[#This Row],[SOX S]]+Dashboard!$C$15*tblHistory[[#This Row],[AIQ S]])/(Dashboard!$C$13+Dashboard!$C$14+Dashboard!$C$15)*100</f>
        <v/>
      </c>
      <c r="U430" s="46">
        <f>(Dashboard!$C$16*tblHistory[[#This Row],[DTCR S]]+Dashboard!$C$17*tblHistory[[#This Row],[BBB S]]+Dashboard!$C$18*tblHistory[[#This Row],[CCC S]])/(Dashboard!$C$16+Dashboard!$C$17+Dashboard!$C$18)*100</f>
        <v/>
      </c>
      <c r="V430" s="46">
        <f>(Dashboard!$C$19*tblHistory[[#This Row],[BIZD S]]+Dashboard!$C$20*tblHistory[[#This Row],[BKLN S]]+Dashboard!$C$21*tblHistory[[#This Row],[HY S]])/(Dashboard!$C$19+Dashboard!$C$20+Dashboard!$C$21)*100</f>
        <v/>
      </c>
      <c r="W43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0" s="46">
        <f>IFERROR(--(tblHistory[[#This Row],[Score]]&gt;=50),0)</f>
        <v/>
      </c>
      <c r="Y430" s="46">
        <f>IFERROR(--AND(tblHistory[[#This Row],[Score]]&gt;=60,OR(AND(tblHistory[[#This Row],[BIZD S]]&gt;=0.8,tblHistory[[#This Row],[BKLN S]]&gt;=0.5),tblHistory[[#This Row],[CCC S]]&gt;=0.8)),0)</f>
        <v/>
      </c>
      <c r="Z430" s="46">
        <f>IFERROR(--AND(tblHistory[[#This Row],[Score]]&gt;=70,tblHistory[[#This Row],[SOX S]]&gt;=0.83,tblHistory[[#This Row],[AIQ S]]&gt;=0.8),0)</f>
        <v/>
      </c>
      <c r="AA43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1">
      <c r="A431" s="42" t="n">
        <v>45701</v>
      </c>
      <c r="B431" s="43" t="n">
        <v>22030.7109</v>
      </c>
      <c r="C431" s="43" t="n">
        <v>5156.3901</v>
      </c>
      <c r="D431" s="43" t="n">
        <v>42.0857</v>
      </c>
      <c r="E431" s="43" t="n">
        <v>17.5881</v>
      </c>
      <c r="F431" s="44" t="n">
        <v>100</v>
      </c>
      <c r="G431" s="44" t="n">
        <v>710</v>
      </c>
      <c r="H431" s="43" t="n">
        <v>14.2873</v>
      </c>
      <c r="I431" s="43" t="n">
        <v>18.729</v>
      </c>
      <c r="J431" s="44" t="n">
        <v>265</v>
      </c>
      <c r="K43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1" s="46">
        <f>(Dashboard!$C$13*tblHistory[[#This Row],[NDX S]]+Dashboard!$C$14*tblHistory[[#This Row],[SOX S]]+Dashboard!$C$15*tblHistory[[#This Row],[AIQ S]])/(Dashboard!$C$13+Dashboard!$C$14+Dashboard!$C$15)*100</f>
        <v/>
      </c>
      <c r="U431" s="46">
        <f>(Dashboard!$C$16*tblHistory[[#This Row],[DTCR S]]+Dashboard!$C$17*tblHistory[[#This Row],[BBB S]]+Dashboard!$C$18*tblHistory[[#This Row],[CCC S]])/(Dashboard!$C$16+Dashboard!$C$17+Dashboard!$C$18)*100</f>
        <v/>
      </c>
      <c r="V431" s="46">
        <f>(Dashboard!$C$19*tblHistory[[#This Row],[BIZD S]]+Dashboard!$C$20*tblHistory[[#This Row],[BKLN S]]+Dashboard!$C$21*tblHistory[[#This Row],[HY S]])/(Dashboard!$C$19+Dashboard!$C$20+Dashboard!$C$21)*100</f>
        <v/>
      </c>
      <c r="W43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1" s="46">
        <f>IFERROR(--(tblHistory[[#This Row],[Score]]&gt;=50),0)</f>
        <v/>
      </c>
      <c r="Y431" s="46">
        <f>IFERROR(--AND(tblHistory[[#This Row],[Score]]&gt;=60,OR(AND(tblHistory[[#This Row],[BIZD S]]&gt;=0.8,tblHistory[[#This Row],[BKLN S]]&gt;=0.5),tblHistory[[#This Row],[CCC S]]&gt;=0.8)),0)</f>
        <v/>
      </c>
      <c r="Z431" s="46">
        <f>IFERROR(--AND(tblHistory[[#This Row],[Score]]&gt;=70,tblHistory[[#This Row],[SOX S]]&gt;=0.83,tblHistory[[#This Row],[AIQ S]]&gt;=0.8),0)</f>
        <v/>
      </c>
      <c r="AA43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2">
      <c r="A432" s="42" t="n">
        <v>45700</v>
      </c>
      <c r="B432" s="43" t="n">
        <v>21719.2598</v>
      </c>
      <c r="C432" s="43" t="n">
        <v>5090.79</v>
      </c>
      <c r="D432" s="43" t="n">
        <v>41.4669</v>
      </c>
      <c r="E432" s="43" t="n">
        <v>17.4502</v>
      </c>
      <c r="F432" s="44" t="n">
        <v>101</v>
      </c>
      <c r="G432" s="44" t="n">
        <v>714</v>
      </c>
      <c r="H432" s="43" t="n">
        <v>14.2218</v>
      </c>
      <c r="I432" s="43" t="n">
        <v>18.7023</v>
      </c>
      <c r="J432" s="44" t="n">
        <v>265</v>
      </c>
      <c r="K43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2" s="46">
        <f>(Dashboard!$C$13*tblHistory[[#This Row],[NDX S]]+Dashboard!$C$14*tblHistory[[#This Row],[SOX S]]+Dashboard!$C$15*tblHistory[[#This Row],[AIQ S]])/(Dashboard!$C$13+Dashboard!$C$14+Dashboard!$C$15)*100</f>
        <v/>
      </c>
      <c r="U432" s="46">
        <f>(Dashboard!$C$16*tblHistory[[#This Row],[DTCR S]]+Dashboard!$C$17*tblHistory[[#This Row],[BBB S]]+Dashboard!$C$18*tblHistory[[#This Row],[CCC S]])/(Dashboard!$C$16+Dashboard!$C$17+Dashboard!$C$18)*100</f>
        <v/>
      </c>
      <c r="V432" s="46">
        <f>(Dashboard!$C$19*tblHistory[[#This Row],[BIZD S]]+Dashboard!$C$20*tblHistory[[#This Row],[BKLN S]]+Dashboard!$C$21*tblHistory[[#This Row],[HY S]])/(Dashboard!$C$19+Dashboard!$C$20+Dashboard!$C$21)*100</f>
        <v/>
      </c>
      <c r="W43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2" s="46">
        <f>IFERROR(--(tblHistory[[#This Row],[Score]]&gt;=50),0)</f>
        <v/>
      </c>
      <c r="Y432" s="46">
        <f>IFERROR(--AND(tblHistory[[#This Row],[Score]]&gt;=60,OR(AND(tblHistory[[#This Row],[BIZD S]]&gt;=0.8,tblHistory[[#This Row],[BKLN S]]&gt;=0.5),tblHistory[[#This Row],[CCC S]]&gt;=0.8)),0)</f>
        <v/>
      </c>
      <c r="Z432" s="46">
        <f>IFERROR(--AND(tblHistory[[#This Row],[Score]]&gt;=70,tblHistory[[#This Row],[SOX S]]&gt;=0.83,tblHistory[[#This Row],[AIQ S]]&gt;=0.8),0)</f>
        <v/>
      </c>
      <c r="AA43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3">
      <c r="A433" s="42" t="n">
        <v>45699</v>
      </c>
      <c r="B433" s="43" t="n">
        <v>21693.5195</v>
      </c>
      <c r="C433" s="43" t="n">
        <v>5079.9702</v>
      </c>
      <c r="D433" s="43" t="n">
        <v>41.3172</v>
      </c>
      <c r="E433" s="43" t="n">
        <v>17.4207</v>
      </c>
      <c r="F433" s="44" t="n">
        <v>103</v>
      </c>
      <c r="G433" s="44" t="n">
        <v>711</v>
      </c>
      <c r="H433" s="43" t="n">
        <v>14.1154</v>
      </c>
      <c r="I433" s="43" t="n">
        <v>18.6934</v>
      </c>
      <c r="J433" s="44" t="n">
        <v>266</v>
      </c>
      <c r="K43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3" s="46">
        <f>(Dashboard!$C$13*tblHistory[[#This Row],[NDX S]]+Dashboard!$C$14*tblHistory[[#This Row],[SOX S]]+Dashboard!$C$15*tblHistory[[#This Row],[AIQ S]])/(Dashboard!$C$13+Dashboard!$C$14+Dashboard!$C$15)*100</f>
        <v/>
      </c>
      <c r="U433" s="46">
        <f>(Dashboard!$C$16*tblHistory[[#This Row],[DTCR S]]+Dashboard!$C$17*tblHistory[[#This Row],[BBB S]]+Dashboard!$C$18*tblHistory[[#This Row],[CCC S]])/(Dashboard!$C$16+Dashboard!$C$17+Dashboard!$C$18)*100</f>
        <v/>
      </c>
      <c r="V433" s="46">
        <f>(Dashboard!$C$19*tblHistory[[#This Row],[BIZD S]]+Dashboard!$C$20*tblHistory[[#This Row],[BKLN S]]+Dashboard!$C$21*tblHistory[[#This Row],[HY S]])/(Dashboard!$C$19+Dashboard!$C$20+Dashboard!$C$21)*100</f>
        <v/>
      </c>
      <c r="W43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3" s="46">
        <f>IFERROR(--(tblHistory[[#This Row],[Score]]&gt;=50),0)</f>
        <v/>
      </c>
      <c r="Y433" s="46">
        <f>IFERROR(--AND(tblHistory[[#This Row],[Score]]&gt;=60,OR(AND(tblHistory[[#This Row],[BIZD S]]&gt;=0.8,tblHistory[[#This Row],[BKLN S]]&gt;=0.5),tblHistory[[#This Row],[CCC S]]&gt;=0.8)),0)</f>
        <v/>
      </c>
      <c r="Z433" s="46">
        <f>IFERROR(--AND(tblHistory[[#This Row],[Score]]&gt;=70,tblHistory[[#This Row],[SOX S]]&gt;=0.83,tblHistory[[#This Row],[AIQ S]]&gt;=0.8),0)</f>
        <v/>
      </c>
      <c r="AA43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4">
      <c r="A434" s="42" t="n">
        <v>45698</v>
      </c>
      <c r="B434" s="43" t="n">
        <v>21756.7305</v>
      </c>
      <c r="C434" s="43" t="n">
        <v>5082.6699</v>
      </c>
      <c r="D434" s="43" t="n">
        <v>41.5268</v>
      </c>
      <c r="E434" s="43" t="n">
        <v>17.1942</v>
      </c>
      <c r="F434" s="44" t="n">
        <v>104</v>
      </c>
      <c r="G434" s="44" t="n">
        <v>710</v>
      </c>
      <c r="H434" s="43" t="n">
        <v>14.0991</v>
      </c>
      <c r="I434" s="43" t="n">
        <v>18.7112</v>
      </c>
      <c r="J434" s="44" t="n">
        <v>266</v>
      </c>
      <c r="K43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4" s="46">
        <f>(Dashboard!$C$13*tblHistory[[#This Row],[NDX S]]+Dashboard!$C$14*tblHistory[[#This Row],[SOX S]]+Dashboard!$C$15*tblHistory[[#This Row],[AIQ S]])/(Dashboard!$C$13+Dashboard!$C$14+Dashboard!$C$15)*100</f>
        <v/>
      </c>
      <c r="U434" s="46">
        <f>(Dashboard!$C$16*tblHistory[[#This Row],[DTCR S]]+Dashboard!$C$17*tblHistory[[#This Row],[BBB S]]+Dashboard!$C$18*tblHistory[[#This Row],[CCC S]])/(Dashboard!$C$16+Dashboard!$C$17+Dashboard!$C$18)*100</f>
        <v/>
      </c>
      <c r="V434" s="46">
        <f>(Dashboard!$C$19*tblHistory[[#This Row],[BIZD S]]+Dashboard!$C$20*tblHistory[[#This Row],[BKLN S]]+Dashboard!$C$21*tblHistory[[#This Row],[HY S]])/(Dashboard!$C$19+Dashboard!$C$20+Dashboard!$C$21)*100</f>
        <v/>
      </c>
      <c r="W43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4" s="46">
        <f>IFERROR(--(tblHistory[[#This Row],[Score]]&gt;=50),0)</f>
        <v/>
      </c>
      <c r="Y434" s="46">
        <f>IFERROR(--AND(tblHistory[[#This Row],[Score]]&gt;=60,OR(AND(tblHistory[[#This Row],[BIZD S]]&gt;=0.8,tblHistory[[#This Row],[BKLN S]]&gt;=0.5),tblHistory[[#This Row],[CCC S]]&gt;=0.8)),0)</f>
        <v/>
      </c>
      <c r="Z434" s="46">
        <f>IFERROR(--AND(tblHistory[[#This Row],[Score]]&gt;=70,tblHistory[[#This Row],[SOX S]]&gt;=0.83,tblHistory[[#This Row],[AIQ S]]&gt;=0.8),0)</f>
        <v/>
      </c>
      <c r="AA43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5">
      <c r="A435" s="42" t="n">
        <v>45695</v>
      </c>
      <c r="B435" s="43" t="n">
        <v>21491.3105</v>
      </c>
      <c r="C435" s="43" t="n">
        <v>5009.3398</v>
      </c>
      <c r="D435" s="43" t="n">
        <v>40.7384</v>
      </c>
      <c r="E435" s="43" t="n">
        <v>16.8692</v>
      </c>
      <c r="F435" s="44" t="n">
        <v>104</v>
      </c>
      <c r="G435" s="44" t="n">
        <v>710</v>
      </c>
      <c r="H435" s="43" t="n">
        <v>14.1154</v>
      </c>
      <c r="I435" s="43" t="n">
        <v>18.7023</v>
      </c>
      <c r="J435" s="44" t="n">
        <v>267</v>
      </c>
      <c r="K43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5" s="46">
        <f>(Dashboard!$C$13*tblHistory[[#This Row],[NDX S]]+Dashboard!$C$14*tblHistory[[#This Row],[SOX S]]+Dashboard!$C$15*tblHistory[[#This Row],[AIQ S]])/(Dashboard!$C$13+Dashboard!$C$14+Dashboard!$C$15)*100</f>
        <v/>
      </c>
      <c r="U435" s="46">
        <f>(Dashboard!$C$16*tblHistory[[#This Row],[DTCR S]]+Dashboard!$C$17*tblHistory[[#This Row],[BBB S]]+Dashboard!$C$18*tblHistory[[#This Row],[CCC S]])/(Dashboard!$C$16+Dashboard!$C$17+Dashboard!$C$18)*100</f>
        <v/>
      </c>
      <c r="V435" s="46">
        <f>(Dashboard!$C$19*tblHistory[[#This Row],[BIZD S]]+Dashboard!$C$20*tblHistory[[#This Row],[BKLN S]]+Dashboard!$C$21*tblHistory[[#This Row],[HY S]])/(Dashboard!$C$19+Dashboard!$C$20+Dashboard!$C$21)*100</f>
        <v/>
      </c>
      <c r="W43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5" s="46">
        <f>IFERROR(--(tblHistory[[#This Row],[Score]]&gt;=50),0)</f>
        <v/>
      </c>
      <c r="Y435" s="46">
        <f>IFERROR(--AND(tblHistory[[#This Row],[Score]]&gt;=60,OR(AND(tblHistory[[#This Row],[BIZD S]]&gt;=0.8,tblHistory[[#This Row],[BKLN S]]&gt;=0.5),tblHistory[[#This Row],[CCC S]]&gt;=0.8)),0)</f>
        <v/>
      </c>
      <c r="Z435" s="46">
        <f>IFERROR(--AND(tblHistory[[#This Row],[Score]]&gt;=70,tblHistory[[#This Row],[SOX S]]&gt;=0.83,tblHistory[[#This Row],[AIQ S]]&gt;=0.8),0)</f>
        <v/>
      </c>
      <c r="AA43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6">
      <c r="A436" s="42" t="n">
        <v>45694</v>
      </c>
      <c r="B436" s="43" t="n">
        <v>21774.0703</v>
      </c>
      <c r="C436" s="43" t="n">
        <v>5092.5898</v>
      </c>
      <c r="D436" s="43" t="n">
        <v>41.0777</v>
      </c>
      <c r="E436" s="43" t="n">
        <v>16.8692</v>
      </c>
      <c r="F436" s="44" t="n">
        <v>104</v>
      </c>
      <c r="G436" s="44" t="n">
        <v>709</v>
      </c>
      <c r="H436" s="43" t="n">
        <v>14.1154</v>
      </c>
      <c r="I436" s="43" t="n">
        <v>18.7112</v>
      </c>
      <c r="J436" s="44" t="n">
        <v>266</v>
      </c>
      <c r="K43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6" s="46">
        <f>(Dashboard!$C$13*tblHistory[[#This Row],[NDX S]]+Dashboard!$C$14*tblHistory[[#This Row],[SOX S]]+Dashboard!$C$15*tblHistory[[#This Row],[AIQ S]])/(Dashboard!$C$13+Dashboard!$C$14+Dashboard!$C$15)*100</f>
        <v/>
      </c>
      <c r="U436" s="46">
        <f>(Dashboard!$C$16*tblHistory[[#This Row],[DTCR S]]+Dashboard!$C$17*tblHistory[[#This Row],[BBB S]]+Dashboard!$C$18*tblHistory[[#This Row],[CCC S]])/(Dashboard!$C$16+Dashboard!$C$17+Dashboard!$C$18)*100</f>
        <v/>
      </c>
      <c r="V436" s="46">
        <f>(Dashboard!$C$19*tblHistory[[#This Row],[BIZD S]]+Dashboard!$C$20*tblHistory[[#This Row],[BKLN S]]+Dashboard!$C$21*tblHistory[[#This Row],[HY S]])/(Dashboard!$C$19+Dashboard!$C$20+Dashboard!$C$21)*100</f>
        <v/>
      </c>
      <c r="W43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6" s="46">
        <f>IFERROR(--(tblHistory[[#This Row],[Score]]&gt;=50),0)</f>
        <v/>
      </c>
      <c r="Y436" s="46">
        <f>IFERROR(--AND(tblHistory[[#This Row],[Score]]&gt;=60,OR(AND(tblHistory[[#This Row],[BIZD S]]&gt;=0.8,tblHistory[[#This Row],[BKLN S]]&gt;=0.5),tblHistory[[#This Row],[CCC S]]&gt;=0.8)),0)</f>
        <v/>
      </c>
      <c r="Z436" s="46">
        <f>IFERROR(--AND(tblHistory[[#This Row],[Score]]&gt;=70,tblHistory[[#This Row],[SOX S]]&gt;=0.83,tblHistory[[#This Row],[AIQ S]]&gt;=0.8),0)</f>
        <v/>
      </c>
      <c r="AA43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7">
      <c r="A437" s="42" t="n">
        <v>45693</v>
      </c>
      <c r="B437" s="43" t="n">
        <v>21658.1602</v>
      </c>
      <c r="C437" s="43" t="n">
        <v>5091.5</v>
      </c>
      <c r="D437" s="43" t="n">
        <v>40.938</v>
      </c>
      <c r="E437" s="43" t="n">
        <v>16.7313</v>
      </c>
      <c r="F437" s="44" t="n">
        <v>103</v>
      </c>
      <c r="G437" s="44" t="n">
        <v>710</v>
      </c>
      <c r="H437" s="43" t="n">
        <v>14.1973</v>
      </c>
      <c r="I437" s="43" t="n">
        <v>18.729</v>
      </c>
      <c r="J437" s="44" t="n">
        <v>269</v>
      </c>
      <c r="K43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7" s="46">
        <f>(Dashboard!$C$13*tblHistory[[#This Row],[NDX S]]+Dashboard!$C$14*tblHistory[[#This Row],[SOX S]]+Dashboard!$C$15*tblHistory[[#This Row],[AIQ S]])/(Dashboard!$C$13+Dashboard!$C$14+Dashboard!$C$15)*100</f>
        <v/>
      </c>
      <c r="U437" s="46">
        <f>(Dashboard!$C$16*tblHistory[[#This Row],[DTCR S]]+Dashboard!$C$17*tblHistory[[#This Row],[BBB S]]+Dashboard!$C$18*tblHistory[[#This Row],[CCC S]])/(Dashboard!$C$16+Dashboard!$C$17+Dashboard!$C$18)*100</f>
        <v/>
      </c>
      <c r="V437" s="46">
        <f>(Dashboard!$C$19*tblHistory[[#This Row],[BIZD S]]+Dashboard!$C$20*tblHistory[[#This Row],[BKLN S]]+Dashboard!$C$21*tblHistory[[#This Row],[HY S]])/(Dashboard!$C$19+Dashboard!$C$20+Dashboard!$C$21)*100</f>
        <v/>
      </c>
      <c r="W43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7" s="46">
        <f>IFERROR(--(tblHistory[[#This Row],[Score]]&gt;=50),0)</f>
        <v/>
      </c>
      <c r="Y437" s="46">
        <f>IFERROR(--AND(tblHistory[[#This Row],[Score]]&gt;=60,OR(AND(tblHistory[[#This Row],[BIZD S]]&gt;=0.8,tblHistory[[#This Row],[BKLN S]]&gt;=0.5),tblHistory[[#This Row],[CCC S]]&gt;=0.8)),0)</f>
        <v/>
      </c>
      <c r="Z437" s="46">
        <f>IFERROR(--AND(tblHistory[[#This Row],[Score]]&gt;=70,tblHistory[[#This Row],[SOX S]]&gt;=0.83,tblHistory[[#This Row],[AIQ S]]&gt;=0.8),0)</f>
        <v/>
      </c>
      <c r="AA43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8">
      <c r="A438" s="42" t="n">
        <v>45692</v>
      </c>
      <c r="B438" s="43" t="n">
        <v>21566.9199</v>
      </c>
      <c r="C438" s="43" t="n">
        <v>4976.5898</v>
      </c>
      <c r="D438" s="43" t="n">
        <v>40.8481</v>
      </c>
      <c r="E438" s="43" t="n">
        <v>16.3768</v>
      </c>
      <c r="F438" s="44" t="n">
        <v>103</v>
      </c>
      <c r="G438" s="44" t="n">
        <v>713</v>
      </c>
      <c r="H438" s="43" t="n">
        <v>14.3118</v>
      </c>
      <c r="I438" s="43" t="n">
        <v>18.729</v>
      </c>
      <c r="J438" s="44" t="n">
        <v>271</v>
      </c>
      <c r="K43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8" s="46">
        <f>(Dashboard!$C$13*tblHistory[[#This Row],[NDX S]]+Dashboard!$C$14*tblHistory[[#This Row],[SOX S]]+Dashboard!$C$15*tblHistory[[#This Row],[AIQ S]])/(Dashboard!$C$13+Dashboard!$C$14+Dashboard!$C$15)*100</f>
        <v/>
      </c>
      <c r="U438" s="46">
        <f>(Dashboard!$C$16*tblHistory[[#This Row],[DTCR S]]+Dashboard!$C$17*tblHistory[[#This Row],[BBB S]]+Dashboard!$C$18*tblHistory[[#This Row],[CCC S]])/(Dashboard!$C$16+Dashboard!$C$17+Dashboard!$C$18)*100</f>
        <v/>
      </c>
      <c r="V438" s="46">
        <f>(Dashboard!$C$19*tblHistory[[#This Row],[BIZD S]]+Dashboard!$C$20*tblHistory[[#This Row],[BKLN S]]+Dashboard!$C$21*tblHistory[[#This Row],[HY S]])/(Dashboard!$C$19+Dashboard!$C$20+Dashboard!$C$21)*100</f>
        <v/>
      </c>
      <c r="W43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8" s="46">
        <f>IFERROR(--(tblHistory[[#This Row],[Score]]&gt;=50),0)</f>
        <v/>
      </c>
      <c r="Y438" s="46">
        <f>IFERROR(--AND(tblHistory[[#This Row],[Score]]&gt;=60,OR(AND(tblHistory[[#This Row],[BIZD S]]&gt;=0.8,tblHistory[[#This Row],[BKLN S]]&gt;=0.5),tblHistory[[#This Row],[CCC S]]&gt;=0.8)),0)</f>
        <v/>
      </c>
      <c r="Z438" s="46">
        <f>IFERROR(--AND(tblHistory[[#This Row],[Score]]&gt;=70,tblHistory[[#This Row],[SOX S]]&gt;=0.83,tblHistory[[#This Row],[AIQ S]]&gt;=0.8),0)</f>
        <v/>
      </c>
      <c r="AA43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39">
      <c r="A439" s="42" t="n">
        <v>45691</v>
      </c>
      <c r="B439" s="43" t="n">
        <v>21297.5801</v>
      </c>
      <c r="C439" s="43" t="n">
        <v>4924.8101</v>
      </c>
      <c r="D439" s="43" t="n">
        <v>39.9799</v>
      </c>
      <c r="E439" s="43" t="n">
        <v>16.1799</v>
      </c>
      <c r="F439" s="44" t="n">
        <v>103</v>
      </c>
      <c r="G439" s="44" t="n">
        <v>712</v>
      </c>
      <c r="H439" s="43" t="n">
        <v>14.32</v>
      </c>
      <c r="I439" s="43" t="n">
        <v>18.7023</v>
      </c>
      <c r="J439" s="44" t="n">
        <v>273</v>
      </c>
      <c r="K43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3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3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3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3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3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3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3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3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39" s="46">
        <f>(Dashboard!$C$13*tblHistory[[#This Row],[NDX S]]+Dashboard!$C$14*tblHistory[[#This Row],[SOX S]]+Dashboard!$C$15*tblHistory[[#This Row],[AIQ S]])/(Dashboard!$C$13+Dashboard!$C$14+Dashboard!$C$15)*100</f>
        <v/>
      </c>
      <c r="U439" s="46">
        <f>(Dashboard!$C$16*tblHistory[[#This Row],[DTCR S]]+Dashboard!$C$17*tblHistory[[#This Row],[BBB S]]+Dashboard!$C$18*tblHistory[[#This Row],[CCC S]])/(Dashboard!$C$16+Dashboard!$C$17+Dashboard!$C$18)*100</f>
        <v/>
      </c>
      <c r="V439" s="46">
        <f>(Dashboard!$C$19*tblHistory[[#This Row],[BIZD S]]+Dashboard!$C$20*tblHistory[[#This Row],[BKLN S]]+Dashboard!$C$21*tblHistory[[#This Row],[HY S]])/(Dashboard!$C$19+Dashboard!$C$20+Dashboard!$C$21)*100</f>
        <v/>
      </c>
      <c r="W43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39" s="46">
        <f>IFERROR(--(tblHistory[[#This Row],[Score]]&gt;=50),0)</f>
        <v/>
      </c>
      <c r="Y439" s="46">
        <f>IFERROR(--AND(tblHistory[[#This Row],[Score]]&gt;=60,OR(AND(tblHistory[[#This Row],[BIZD S]]&gt;=0.8,tblHistory[[#This Row],[BKLN S]]&gt;=0.5),tblHistory[[#This Row],[CCC S]]&gt;=0.8)),0)</f>
        <v/>
      </c>
      <c r="Z439" s="46">
        <f>IFERROR(--AND(tblHistory[[#This Row],[Score]]&gt;=70,tblHistory[[#This Row],[SOX S]]&gt;=0.83,tblHistory[[#This Row],[AIQ S]]&gt;=0.8),0)</f>
        <v/>
      </c>
      <c r="AA43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3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3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3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3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0">
      <c r="A440" s="42" t="n">
        <v>45688</v>
      </c>
      <c r="B440" s="43" t="n">
        <v>21478.0508</v>
      </c>
      <c r="C440" s="43" t="n">
        <v>5015.8501</v>
      </c>
      <c r="D440" s="43" t="n">
        <v>40.3691</v>
      </c>
      <c r="E440" s="43" t="n">
        <v>16.17</v>
      </c>
      <c r="F440" s="44" t="n">
        <v>102</v>
      </c>
      <c r="G440" s="44" t="n">
        <v>699</v>
      </c>
      <c r="H440" s="43" t="n">
        <v>14.3282</v>
      </c>
      <c r="I440" s="43" t="n">
        <v>18.729</v>
      </c>
      <c r="J440" s="44" t="n">
        <v>268</v>
      </c>
      <c r="K44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0" s="46">
        <f>(Dashboard!$C$13*tblHistory[[#This Row],[NDX S]]+Dashboard!$C$14*tblHistory[[#This Row],[SOX S]]+Dashboard!$C$15*tblHistory[[#This Row],[AIQ S]])/(Dashboard!$C$13+Dashboard!$C$14+Dashboard!$C$15)*100</f>
        <v/>
      </c>
      <c r="U440" s="46">
        <f>(Dashboard!$C$16*tblHistory[[#This Row],[DTCR S]]+Dashboard!$C$17*tblHistory[[#This Row],[BBB S]]+Dashboard!$C$18*tblHistory[[#This Row],[CCC S]])/(Dashboard!$C$16+Dashboard!$C$17+Dashboard!$C$18)*100</f>
        <v/>
      </c>
      <c r="V440" s="46">
        <f>(Dashboard!$C$19*tblHistory[[#This Row],[BIZD S]]+Dashboard!$C$20*tblHistory[[#This Row],[BKLN S]]+Dashboard!$C$21*tblHistory[[#This Row],[HY S]])/(Dashboard!$C$19+Dashboard!$C$20+Dashboard!$C$21)*100</f>
        <v/>
      </c>
      <c r="W44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0" s="46">
        <f>IFERROR(--(tblHistory[[#This Row],[Score]]&gt;=50),0)</f>
        <v/>
      </c>
      <c r="Y440" s="46">
        <f>IFERROR(--AND(tblHistory[[#This Row],[Score]]&gt;=60,OR(AND(tblHistory[[#This Row],[BIZD S]]&gt;=0.8,tblHistory[[#This Row],[BKLN S]]&gt;=0.5),tblHistory[[#This Row],[CCC S]]&gt;=0.8)),0)</f>
        <v/>
      </c>
      <c r="Z440" s="46">
        <f>IFERROR(--AND(tblHistory[[#This Row],[Score]]&gt;=70,tblHistory[[#This Row],[SOX S]]&gt;=0.83,tblHistory[[#This Row],[AIQ S]]&gt;=0.8),0)</f>
        <v/>
      </c>
      <c r="AA44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1">
      <c r="A441" s="42" t="n">
        <v>45687</v>
      </c>
      <c r="B441" s="43" t="n">
        <v>21508.1191</v>
      </c>
      <c r="C441" s="43" t="n">
        <v>5030.5298</v>
      </c>
      <c r="D441" s="43" t="n">
        <v>40.5288</v>
      </c>
      <c r="E441" s="43" t="n">
        <v>16.4556</v>
      </c>
      <c r="F441" s="44" t="n">
        <v>101</v>
      </c>
      <c r="G441" s="44" t="n">
        <v>705</v>
      </c>
      <c r="H441" s="43" t="n">
        <v>14.2218</v>
      </c>
      <c r="I441" s="43" t="n">
        <v>18.7468</v>
      </c>
      <c r="J441" s="44" t="n">
        <v>267</v>
      </c>
      <c r="K44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1" s="46">
        <f>(Dashboard!$C$13*tblHistory[[#This Row],[NDX S]]+Dashboard!$C$14*tblHistory[[#This Row],[SOX S]]+Dashboard!$C$15*tblHistory[[#This Row],[AIQ S]])/(Dashboard!$C$13+Dashboard!$C$14+Dashboard!$C$15)*100</f>
        <v/>
      </c>
      <c r="U441" s="46">
        <f>(Dashboard!$C$16*tblHistory[[#This Row],[DTCR S]]+Dashboard!$C$17*tblHistory[[#This Row],[BBB S]]+Dashboard!$C$18*tblHistory[[#This Row],[CCC S]])/(Dashboard!$C$16+Dashboard!$C$17+Dashboard!$C$18)*100</f>
        <v/>
      </c>
      <c r="V441" s="46">
        <f>(Dashboard!$C$19*tblHistory[[#This Row],[BIZD S]]+Dashboard!$C$20*tblHistory[[#This Row],[BKLN S]]+Dashboard!$C$21*tblHistory[[#This Row],[HY S]])/(Dashboard!$C$19+Dashboard!$C$20+Dashboard!$C$21)*100</f>
        <v/>
      </c>
      <c r="W44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1" s="46">
        <f>IFERROR(--(tblHistory[[#This Row],[Score]]&gt;=50),0)</f>
        <v/>
      </c>
      <c r="Y441" s="46">
        <f>IFERROR(--AND(tblHistory[[#This Row],[Score]]&gt;=60,OR(AND(tblHistory[[#This Row],[BIZD S]]&gt;=0.8,tblHistory[[#This Row],[BKLN S]]&gt;=0.5),tblHistory[[#This Row],[CCC S]]&gt;=0.8)),0)</f>
        <v/>
      </c>
      <c r="Z441" s="46">
        <f>IFERROR(--AND(tblHistory[[#This Row],[Score]]&gt;=70,tblHistory[[#This Row],[SOX S]]&gt;=0.83,tblHistory[[#This Row],[AIQ S]]&gt;=0.8),0)</f>
        <v/>
      </c>
      <c r="AA44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2">
      <c r="A442" s="42" t="n">
        <v>45686</v>
      </c>
      <c r="B442" s="43" t="n">
        <v>21411.4609</v>
      </c>
      <c r="C442" s="43" t="n">
        <v>4918.1001</v>
      </c>
      <c r="D442" s="43" t="n">
        <v>40.0797</v>
      </c>
      <c r="E442" s="43" t="n">
        <v>16.2094</v>
      </c>
      <c r="F442" s="44" t="n">
        <v>101</v>
      </c>
      <c r="G442" s="44" t="n">
        <v>710</v>
      </c>
      <c r="H442" s="43" t="n">
        <v>14.0827</v>
      </c>
      <c r="I442" s="43" t="n">
        <v>18.7201</v>
      </c>
      <c r="J442" s="44" t="n">
        <v>268</v>
      </c>
      <c r="K44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2" s="46">
        <f>(Dashboard!$C$13*tblHistory[[#This Row],[NDX S]]+Dashboard!$C$14*tblHistory[[#This Row],[SOX S]]+Dashboard!$C$15*tblHistory[[#This Row],[AIQ S]])/(Dashboard!$C$13+Dashboard!$C$14+Dashboard!$C$15)*100</f>
        <v/>
      </c>
      <c r="U442" s="46">
        <f>(Dashboard!$C$16*tblHistory[[#This Row],[DTCR S]]+Dashboard!$C$17*tblHistory[[#This Row],[BBB S]]+Dashboard!$C$18*tblHistory[[#This Row],[CCC S]])/(Dashboard!$C$16+Dashboard!$C$17+Dashboard!$C$18)*100</f>
        <v/>
      </c>
      <c r="V442" s="46">
        <f>(Dashboard!$C$19*tblHistory[[#This Row],[BIZD S]]+Dashboard!$C$20*tblHistory[[#This Row],[BKLN S]]+Dashboard!$C$21*tblHistory[[#This Row],[HY S]])/(Dashboard!$C$19+Dashboard!$C$20+Dashboard!$C$21)*100</f>
        <v/>
      </c>
      <c r="W44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2" s="46">
        <f>IFERROR(--(tblHistory[[#This Row],[Score]]&gt;=50),0)</f>
        <v/>
      </c>
      <c r="Y442" s="46">
        <f>IFERROR(--AND(tblHistory[[#This Row],[Score]]&gt;=60,OR(AND(tblHistory[[#This Row],[BIZD S]]&gt;=0.8,tblHistory[[#This Row],[BKLN S]]&gt;=0.5),tblHistory[[#This Row],[CCC S]]&gt;=0.8)),0)</f>
        <v/>
      </c>
      <c r="Z442" s="46">
        <f>IFERROR(--AND(tblHistory[[#This Row],[Score]]&gt;=70,tblHistory[[#This Row],[SOX S]]&gt;=0.83,tblHistory[[#This Row],[AIQ S]]&gt;=0.8),0)</f>
        <v/>
      </c>
      <c r="AA44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3">
      <c r="A443" s="42" t="n">
        <v>45685</v>
      </c>
      <c r="B443" s="43" t="n">
        <v>21463.0391</v>
      </c>
      <c r="C443" s="43" t="n">
        <v>4907.0298</v>
      </c>
      <c r="D443" s="43" t="n">
        <v>40.3192</v>
      </c>
      <c r="E443" s="43" t="n">
        <v>16.1799</v>
      </c>
      <c r="F443" s="44" t="n">
        <v>100</v>
      </c>
      <c r="G443" s="44" t="n">
        <v>710</v>
      </c>
      <c r="H443" s="43" t="n">
        <v>14.2054</v>
      </c>
      <c r="I443" s="43" t="n">
        <v>18.729</v>
      </c>
      <c r="J443" s="44" t="n">
        <v>266</v>
      </c>
      <c r="K44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3" s="46">
        <f>(Dashboard!$C$13*tblHistory[[#This Row],[NDX S]]+Dashboard!$C$14*tblHistory[[#This Row],[SOX S]]+Dashboard!$C$15*tblHistory[[#This Row],[AIQ S]])/(Dashboard!$C$13+Dashboard!$C$14+Dashboard!$C$15)*100</f>
        <v/>
      </c>
      <c r="U443" s="46">
        <f>(Dashboard!$C$16*tblHistory[[#This Row],[DTCR S]]+Dashboard!$C$17*tblHistory[[#This Row],[BBB S]]+Dashboard!$C$18*tblHistory[[#This Row],[CCC S]])/(Dashboard!$C$16+Dashboard!$C$17+Dashboard!$C$18)*100</f>
        <v/>
      </c>
      <c r="V443" s="46">
        <f>(Dashboard!$C$19*tblHistory[[#This Row],[BIZD S]]+Dashboard!$C$20*tblHistory[[#This Row],[BKLN S]]+Dashboard!$C$21*tblHistory[[#This Row],[HY S]])/(Dashboard!$C$19+Dashboard!$C$20+Dashboard!$C$21)*100</f>
        <v/>
      </c>
      <c r="W44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3" s="46">
        <f>IFERROR(--(tblHistory[[#This Row],[Score]]&gt;=50),0)</f>
        <v/>
      </c>
      <c r="Y443" s="46">
        <f>IFERROR(--AND(tblHistory[[#This Row],[Score]]&gt;=60,OR(AND(tblHistory[[#This Row],[BIZD S]]&gt;=0.8,tblHistory[[#This Row],[BKLN S]]&gt;=0.5),tblHistory[[#This Row],[CCC S]]&gt;=0.8)),0)</f>
        <v/>
      </c>
      <c r="Z443" s="46">
        <f>IFERROR(--AND(tblHistory[[#This Row],[Score]]&gt;=70,tblHistory[[#This Row],[SOX S]]&gt;=0.83,tblHistory[[#This Row],[AIQ S]]&gt;=0.8),0)</f>
        <v/>
      </c>
      <c r="AA44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4">
      <c r="A444" s="42" t="n">
        <v>45684</v>
      </c>
      <c r="B444" s="43" t="n">
        <v>21127.2793</v>
      </c>
      <c r="C444" s="43" t="n">
        <v>4853.2402</v>
      </c>
      <c r="D444" s="43" t="n">
        <v>39.5807</v>
      </c>
      <c r="E444" s="43" t="n">
        <v>16.17</v>
      </c>
      <c r="F444" s="44" t="n">
        <v>101</v>
      </c>
      <c r="G444" s="44" t="n">
        <v>711</v>
      </c>
      <c r="H444" s="43" t="n">
        <v>14.1236</v>
      </c>
      <c r="I444" s="43" t="n">
        <v>18.7379</v>
      </c>
      <c r="J444" s="44" t="n">
        <v>266</v>
      </c>
      <c r="K44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4" s="46">
        <f>(Dashboard!$C$13*tblHistory[[#This Row],[NDX S]]+Dashboard!$C$14*tblHistory[[#This Row],[SOX S]]+Dashboard!$C$15*tblHistory[[#This Row],[AIQ S]])/(Dashboard!$C$13+Dashboard!$C$14+Dashboard!$C$15)*100</f>
        <v/>
      </c>
      <c r="U444" s="46">
        <f>(Dashboard!$C$16*tblHistory[[#This Row],[DTCR S]]+Dashboard!$C$17*tblHistory[[#This Row],[BBB S]]+Dashboard!$C$18*tblHistory[[#This Row],[CCC S]])/(Dashboard!$C$16+Dashboard!$C$17+Dashboard!$C$18)*100</f>
        <v/>
      </c>
      <c r="V444" s="46">
        <f>(Dashboard!$C$19*tblHistory[[#This Row],[BIZD S]]+Dashboard!$C$20*tblHistory[[#This Row],[BKLN S]]+Dashboard!$C$21*tblHistory[[#This Row],[HY S]])/(Dashboard!$C$19+Dashboard!$C$20+Dashboard!$C$21)*100</f>
        <v/>
      </c>
      <c r="W44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4" s="46">
        <f>IFERROR(--(tblHistory[[#This Row],[Score]]&gt;=50),0)</f>
        <v/>
      </c>
      <c r="Y444" s="46">
        <f>IFERROR(--AND(tblHistory[[#This Row],[Score]]&gt;=60,OR(AND(tblHistory[[#This Row],[BIZD S]]&gt;=0.8,tblHistory[[#This Row],[BKLN S]]&gt;=0.5),tblHistory[[#This Row],[CCC S]]&gt;=0.8)),0)</f>
        <v/>
      </c>
      <c r="Z444" s="46">
        <f>IFERROR(--AND(tblHistory[[#This Row],[Score]]&gt;=70,tblHistory[[#This Row],[SOX S]]&gt;=0.83,tblHistory[[#This Row],[AIQ S]]&gt;=0.8),0)</f>
        <v/>
      </c>
      <c r="AA44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5">
      <c r="A445" s="42" t="n">
        <v>45681</v>
      </c>
      <c r="B445" s="43" t="n">
        <v>21774.0098</v>
      </c>
      <c r="C445" s="43" t="n">
        <v>5341.9399</v>
      </c>
      <c r="D445" s="43" t="n">
        <v>40.6785</v>
      </c>
      <c r="E445" s="43" t="n">
        <v>17.0268</v>
      </c>
      <c r="F445" s="44" t="n">
        <v>100</v>
      </c>
      <c r="G445" s="44" t="n">
        <v>694</v>
      </c>
      <c r="H445" s="43" t="n">
        <v>14.1236</v>
      </c>
      <c r="I445" s="43" t="n">
        <v>18.7379</v>
      </c>
      <c r="J445" s="44" t="n">
        <v>260</v>
      </c>
      <c r="K44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5" s="46">
        <f>(Dashboard!$C$13*tblHistory[[#This Row],[NDX S]]+Dashboard!$C$14*tblHistory[[#This Row],[SOX S]]+Dashboard!$C$15*tblHistory[[#This Row],[AIQ S]])/(Dashboard!$C$13+Dashboard!$C$14+Dashboard!$C$15)*100</f>
        <v/>
      </c>
      <c r="U445" s="46">
        <f>(Dashboard!$C$16*tblHistory[[#This Row],[DTCR S]]+Dashboard!$C$17*tblHistory[[#This Row],[BBB S]]+Dashboard!$C$18*tblHistory[[#This Row],[CCC S]])/(Dashboard!$C$16+Dashboard!$C$17+Dashboard!$C$18)*100</f>
        <v/>
      </c>
      <c r="V445" s="46">
        <f>(Dashboard!$C$19*tblHistory[[#This Row],[BIZD S]]+Dashboard!$C$20*tblHistory[[#This Row],[BKLN S]]+Dashboard!$C$21*tblHistory[[#This Row],[HY S]])/(Dashboard!$C$19+Dashboard!$C$20+Dashboard!$C$21)*100</f>
        <v/>
      </c>
      <c r="W44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5" s="46">
        <f>IFERROR(--(tblHistory[[#This Row],[Score]]&gt;=50),0)</f>
        <v/>
      </c>
      <c r="Y445" s="46">
        <f>IFERROR(--AND(tblHistory[[#This Row],[Score]]&gt;=60,OR(AND(tblHistory[[#This Row],[BIZD S]]&gt;=0.8,tblHistory[[#This Row],[BKLN S]]&gt;=0.5),tblHistory[[#This Row],[CCC S]]&gt;=0.8)),0)</f>
        <v/>
      </c>
      <c r="Z445" s="46">
        <f>IFERROR(--AND(tblHistory[[#This Row],[Score]]&gt;=70,tblHistory[[#This Row],[SOX S]]&gt;=0.83,tblHistory[[#This Row],[AIQ S]]&gt;=0.8),0)</f>
        <v/>
      </c>
      <c r="AA44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6">
      <c r="A446" s="42" t="n">
        <v>45680</v>
      </c>
      <c r="B446" s="43" t="n">
        <v>21900.9297</v>
      </c>
      <c r="C446" s="43" t="n">
        <v>5444.6899</v>
      </c>
      <c r="D446" s="43" t="n">
        <v>40.7284</v>
      </c>
      <c r="E446" s="43" t="n">
        <v>17.0268</v>
      </c>
      <c r="F446" s="44" t="n">
        <v>100</v>
      </c>
      <c r="G446" s="44" t="n">
        <v>690</v>
      </c>
      <c r="H446" s="43" t="n">
        <v>14.0745</v>
      </c>
      <c r="I446" s="43" t="n">
        <v>18.7379</v>
      </c>
      <c r="J446" s="44" t="n">
        <v>261</v>
      </c>
      <c r="K44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6" s="46">
        <f>(Dashboard!$C$13*tblHistory[[#This Row],[NDX S]]+Dashboard!$C$14*tblHistory[[#This Row],[SOX S]]+Dashboard!$C$15*tblHistory[[#This Row],[AIQ S]])/(Dashboard!$C$13+Dashboard!$C$14+Dashboard!$C$15)*100</f>
        <v/>
      </c>
      <c r="U446" s="46">
        <f>(Dashboard!$C$16*tblHistory[[#This Row],[DTCR S]]+Dashboard!$C$17*tblHistory[[#This Row],[BBB S]]+Dashboard!$C$18*tblHistory[[#This Row],[CCC S]])/(Dashboard!$C$16+Dashboard!$C$17+Dashboard!$C$18)*100</f>
        <v/>
      </c>
      <c r="V446" s="46">
        <f>(Dashboard!$C$19*tblHistory[[#This Row],[BIZD S]]+Dashboard!$C$20*tblHistory[[#This Row],[BKLN S]]+Dashboard!$C$21*tblHistory[[#This Row],[HY S]])/(Dashboard!$C$19+Dashboard!$C$20+Dashboard!$C$21)*100</f>
        <v/>
      </c>
      <c r="W44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6" s="46">
        <f>IFERROR(--(tblHistory[[#This Row],[Score]]&gt;=50),0)</f>
        <v/>
      </c>
      <c r="Y446" s="46">
        <f>IFERROR(--AND(tblHistory[[#This Row],[Score]]&gt;=60,OR(AND(tblHistory[[#This Row],[BIZD S]]&gt;=0.8,tblHistory[[#This Row],[BKLN S]]&gt;=0.5),tblHistory[[#This Row],[CCC S]]&gt;=0.8)),0)</f>
        <v/>
      </c>
      <c r="Z446" s="46">
        <f>IFERROR(--AND(tblHistory[[#This Row],[Score]]&gt;=70,tblHistory[[#This Row],[SOX S]]&gt;=0.83,tblHistory[[#This Row],[AIQ S]]&gt;=0.8),0)</f>
        <v/>
      </c>
      <c r="AA44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7">
      <c r="A447" s="42" t="n">
        <v>45679</v>
      </c>
      <c r="B447" s="43" t="n">
        <v>21853</v>
      </c>
      <c r="C447" s="43" t="n">
        <v>5469.29</v>
      </c>
      <c r="D447" s="43" t="n">
        <v>40.5587</v>
      </c>
      <c r="E447" s="43" t="n">
        <v>16.7806</v>
      </c>
      <c r="F447" s="44" t="n">
        <v>101</v>
      </c>
      <c r="G447" s="44" t="n">
        <v>692</v>
      </c>
      <c r="H447" s="43" t="n">
        <v>14.0745</v>
      </c>
      <c r="I447" s="43" t="n">
        <v>18.7379</v>
      </c>
      <c r="J447" s="44" t="n">
        <v>259</v>
      </c>
      <c r="K44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7" s="46">
        <f>(Dashboard!$C$13*tblHistory[[#This Row],[NDX S]]+Dashboard!$C$14*tblHistory[[#This Row],[SOX S]]+Dashboard!$C$15*tblHistory[[#This Row],[AIQ S]])/(Dashboard!$C$13+Dashboard!$C$14+Dashboard!$C$15)*100</f>
        <v/>
      </c>
      <c r="U447" s="46">
        <f>(Dashboard!$C$16*tblHistory[[#This Row],[DTCR S]]+Dashboard!$C$17*tblHistory[[#This Row],[BBB S]]+Dashboard!$C$18*tblHistory[[#This Row],[CCC S]])/(Dashboard!$C$16+Dashboard!$C$17+Dashboard!$C$18)*100</f>
        <v/>
      </c>
      <c r="V447" s="46">
        <f>(Dashboard!$C$19*tblHistory[[#This Row],[BIZD S]]+Dashboard!$C$20*tblHistory[[#This Row],[BKLN S]]+Dashboard!$C$21*tblHistory[[#This Row],[HY S]])/(Dashboard!$C$19+Dashboard!$C$20+Dashboard!$C$21)*100</f>
        <v/>
      </c>
      <c r="W44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7" s="46">
        <f>IFERROR(--(tblHistory[[#This Row],[Score]]&gt;=50),0)</f>
        <v/>
      </c>
      <c r="Y447" s="46">
        <f>IFERROR(--AND(tblHistory[[#This Row],[Score]]&gt;=60,OR(AND(tblHistory[[#This Row],[BIZD S]]&gt;=0.8,tblHistory[[#This Row],[BKLN S]]&gt;=0.5),tblHistory[[#This Row],[CCC S]]&gt;=0.8)),0)</f>
        <v/>
      </c>
      <c r="Z447" s="46">
        <f>IFERROR(--AND(tblHistory[[#This Row],[Score]]&gt;=70,tblHistory[[#This Row],[SOX S]]&gt;=0.83,tblHistory[[#This Row],[AIQ S]]&gt;=0.8),0)</f>
        <v/>
      </c>
      <c r="AA44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8">
      <c r="A448" s="42" t="n">
        <v>45678</v>
      </c>
      <c r="B448" s="43" t="n">
        <v>21566.5098</v>
      </c>
      <c r="C448" s="43" t="n">
        <v>5378.5</v>
      </c>
      <c r="D448" s="43" t="n">
        <v>39.9998</v>
      </c>
      <c r="E448" s="43" t="n">
        <v>17.076</v>
      </c>
      <c r="F448" s="44" t="n">
        <v>102</v>
      </c>
      <c r="G448" s="44" t="n">
        <v>699</v>
      </c>
      <c r="H448" s="43" t="n">
        <v>14.0745</v>
      </c>
      <c r="I448" s="43" t="n">
        <v>18.729</v>
      </c>
      <c r="J448" s="44" t="n">
        <v>261</v>
      </c>
      <c r="K44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8" s="46">
        <f>(Dashboard!$C$13*tblHistory[[#This Row],[NDX S]]+Dashboard!$C$14*tblHistory[[#This Row],[SOX S]]+Dashboard!$C$15*tblHistory[[#This Row],[AIQ S]])/(Dashboard!$C$13+Dashboard!$C$14+Dashboard!$C$15)*100</f>
        <v/>
      </c>
      <c r="U448" s="46">
        <f>(Dashboard!$C$16*tblHistory[[#This Row],[DTCR S]]+Dashboard!$C$17*tblHistory[[#This Row],[BBB S]]+Dashboard!$C$18*tblHistory[[#This Row],[CCC S]])/(Dashboard!$C$16+Dashboard!$C$17+Dashboard!$C$18)*100</f>
        <v/>
      </c>
      <c r="V448" s="46">
        <f>(Dashboard!$C$19*tblHistory[[#This Row],[BIZD S]]+Dashboard!$C$20*tblHistory[[#This Row],[BKLN S]]+Dashboard!$C$21*tblHistory[[#This Row],[HY S]])/(Dashboard!$C$19+Dashboard!$C$20+Dashboard!$C$21)*100</f>
        <v/>
      </c>
      <c r="W44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8" s="46">
        <f>IFERROR(--(tblHistory[[#This Row],[Score]]&gt;=50),0)</f>
        <v/>
      </c>
      <c r="Y448" s="46">
        <f>IFERROR(--AND(tblHistory[[#This Row],[Score]]&gt;=60,OR(AND(tblHistory[[#This Row],[BIZD S]]&gt;=0.8,tblHistory[[#This Row],[BKLN S]]&gt;=0.5),tblHistory[[#This Row],[CCC S]]&gt;=0.8)),0)</f>
        <v/>
      </c>
      <c r="Z448" s="46">
        <f>IFERROR(--AND(tblHistory[[#This Row],[Score]]&gt;=70,tblHistory[[#This Row],[SOX S]]&gt;=0.83,tblHistory[[#This Row],[AIQ S]]&gt;=0.8),0)</f>
        <v/>
      </c>
      <c r="AA44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49">
      <c r="A449" s="42" t="n">
        <v>45674</v>
      </c>
      <c r="B449" s="43" t="n">
        <v>21441.1602</v>
      </c>
      <c r="C449" s="43" t="n">
        <v>5309.7402</v>
      </c>
      <c r="D449" s="43" t="n">
        <v>39.3811</v>
      </c>
      <c r="E449" s="43" t="n">
        <v>16.7707</v>
      </c>
      <c r="F449" s="44" t="n">
        <v>102</v>
      </c>
      <c r="G449" s="44" t="n">
        <v>707</v>
      </c>
      <c r="H449" s="43" t="n">
        <v>13.96</v>
      </c>
      <c r="I449" s="43" t="n">
        <v>18.7077</v>
      </c>
      <c r="J449" s="44" t="n">
        <v>264</v>
      </c>
      <c r="K44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4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4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4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4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4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4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4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4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49" s="46">
        <f>(Dashboard!$C$13*tblHistory[[#This Row],[NDX S]]+Dashboard!$C$14*tblHistory[[#This Row],[SOX S]]+Dashboard!$C$15*tblHistory[[#This Row],[AIQ S]])/(Dashboard!$C$13+Dashboard!$C$14+Dashboard!$C$15)*100</f>
        <v/>
      </c>
      <c r="U449" s="46">
        <f>(Dashboard!$C$16*tblHistory[[#This Row],[DTCR S]]+Dashboard!$C$17*tblHistory[[#This Row],[BBB S]]+Dashboard!$C$18*tblHistory[[#This Row],[CCC S]])/(Dashboard!$C$16+Dashboard!$C$17+Dashboard!$C$18)*100</f>
        <v/>
      </c>
      <c r="V449" s="46">
        <f>(Dashboard!$C$19*tblHistory[[#This Row],[BIZD S]]+Dashboard!$C$20*tblHistory[[#This Row],[BKLN S]]+Dashboard!$C$21*tblHistory[[#This Row],[HY S]])/(Dashboard!$C$19+Dashboard!$C$20+Dashboard!$C$21)*100</f>
        <v/>
      </c>
      <c r="W44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49" s="46">
        <f>IFERROR(--(tblHistory[[#This Row],[Score]]&gt;=50),0)</f>
        <v/>
      </c>
      <c r="Y449" s="46">
        <f>IFERROR(--AND(tblHistory[[#This Row],[Score]]&gt;=60,OR(AND(tblHistory[[#This Row],[BIZD S]]&gt;=0.8,tblHistory[[#This Row],[BKLN S]]&gt;=0.5),tblHistory[[#This Row],[CCC S]]&gt;=0.8)),0)</f>
        <v/>
      </c>
      <c r="Z449" s="46">
        <f>IFERROR(--AND(tblHistory[[#This Row],[Score]]&gt;=70,tblHistory[[#This Row],[SOX S]]&gt;=0.83,tblHistory[[#This Row],[AIQ S]]&gt;=0.8),0)</f>
        <v/>
      </c>
      <c r="AA44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4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4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4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4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0">
      <c r="A450" s="42" t="n">
        <v>45673</v>
      </c>
      <c r="B450" s="43" t="n">
        <v>21091.25</v>
      </c>
      <c r="C450" s="43" t="n">
        <v>5162.96</v>
      </c>
      <c r="D450" s="43" t="n">
        <v>38.8022</v>
      </c>
      <c r="E450" s="43" t="n">
        <v>16.6427</v>
      </c>
      <c r="F450" s="44" t="n">
        <v>103</v>
      </c>
      <c r="G450" s="44" t="n">
        <v>716</v>
      </c>
      <c r="H450" s="43" t="n">
        <v>13.9354</v>
      </c>
      <c r="I450" s="43" t="n">
        <v>18.69</v>
      </c>
      <c r="J450" s="44" t="n">
        <v>273</v>
      </c>
      <c r="K45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0" s="46">
        <f>(Dashboard!$C$13*tblHistory[[#This Row],[NDX S]]+Dashboard!$C$14*tblHistory[[#This Row],[SOX S]]+Dashboard!$C$15*tblHistory[[#This Row],[AIQ S]])/(Dashboard!$C$13+Dashboard!$C$14+Dashboard!$C$15)*100</f>
        <v/>
      </c>
      <c r="U450" s="46">
        <f>(Dashboard!$C$16*tblHistory[[#This Row],[DTCR S]]+Dashboard!$C$17*tblHistory[[#This Row],[BBB S]]+Dashboard!$C$18*tblHistory[[#This Row],[CCC S]])/(Dashboard!$C$16+Dashboard!$C$17+Dashboard!$C$18)*100</f>
        <v/>
      </c>
      <c r="V450" s="46">
        <f>(Dashboard!$C$19*tblHistory[[#This Row],[BIZD S]]+Dashboard!$C$20*tblHistory[[#This Row],[BKLN S]]+Dashboard!$C$21*tblHistory[[#This Row],[HY S]])/(Dashboard!$C$19+Dashboard!$C$20+Dashboard!$C$21)*100</f>
        <v/>
      </c>
      <c r="W45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0" s="46">
        <f>IFERROR(--(tblHistory[[#This Row],[Score]]&gt;=50),0)</f>
        <v/>
      </c>
      <c r="Y450" s="46">
        <f>IFERROR(--AND(tblHistory[[#This Row],[Score]]&gt;=60,OR(AND(tblHistory[[#This Row],[BIZD S]]&gt;=0.8,tblHistory[[#This Row],[BKLN S]]&gt;=0.5),tblHistory[[#This Row],[CCC S]]&gt;=0.8)),0)</f>
        <v/>
      </c>
      <c r="Z450" s="46">
        <f>IFERROR(--AND(tblHistory[[#This Row],[Score]]&gt;=70,tblHistory[[#This Row],[SOX S]]&gt;=0.83,tblHistory[[#This Row],[AIQ S]]&gt;=0.8),0)</f>
        <v/>
      </c>
      <c r="AA45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1">
      <c r="A451" s="42" t="n">
        <v>45672</v>
      </c>
      <c r="B451" s="43" t="n">
        <v>21237.8496</v>
      </c>
      <c r="C451" s="43" t="n">
        <v>5153.6699</v>
      </c>
      <c r="D451" s="43" t="n">
        <v>38.8921</v>
      </c>
      <c r="E451" s="43" t="n">
        <v>16.239</v>
      </c>
      <c r="F451" s="44" t="n">
        <v>103</v>
      </c>
      <c r="G451" s="44" t="n">
        <v>714</v>
      </c>
      <c r="H451" s="43" t="n">
        <v>13.7145</v>
      </c>
      <c r="I451" s="43" t="n">
        <v>18.6988</v>
      </c>
      <c r="J451" s="44" t="n">
        <v>272</v>
      </c>
      <c r="K45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1" s="46">
        <f>(Dashboard!$C$13*tblHistory[[#This Row],[NDX S]]+Dashboard!$C$14*tblHistory[[#This Row],[SOX S]]+Dashboard!$C$15*tblHistory[[#This Row],[AIQ S]])/(Dashboard!$C$13+Dashboard!$C$14+Dashboard!$C$15)*100</f>
        <v/>
      </c>
      <c r="U451" s="46">
        <f>(Dashboard!$C$16*tblHistory[[#This Row],[DTCR S]]+Dashboard!$C$17*tblHistory[[#This Row],[BBB S]]+Dashboard!$C$18*tblHistory[[#This Row],[CCC S]])/(Dashboard!$C$16+Dashboard!$C$17+Dashboard!$C$18)*100</f>
        <v/>
      </c>
      <c r="V451" s="46">
        <f>(Dashboard!$C$19*tblHistory[[#This Row],[BIZD S]]+Dashboard!$C$20*tblHistory[[#This Row],[BKLN S]]+Dashboard!$C$21*tblHistory[[#This Row],[HY S]])/(Dashboard!$C$19+Dashboard!$C$20+Dashboard!$C$21)*100</f>
        <v/>
      </c>
      <c r="W45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1" s="46">
        <f>IFERROR(--(tblHistory[[#This Row],[Score]]&gt;=50),0)</f>
        <v/>
      </c>
      <c r="Y451" s="46">
        <f>IFERROR(--AND(tblHistory[[#This Row],[Score]]&gt;=60,OR(AND(tblHistory[[#This Row],[BIZD S]]&gt;=0.8,tblHistory[[#This Row],[BKLN S]]&gt;=0.5),tblHistory[[#This Row],[CCC S]]&gt;=0.8)),0)</f>
        <v/>
      </c>
      <c r="Z451" s="46">
        <f>IFERROR(--AND(tblHistory[[#This Row],[Score]]&gt;=70,tblHistory[[#This Row],[SOX S]]&gt;=0.83,tblHistory[[#This Row],[AIQ S]]&gt;=0.8),0)</f>
        <v/>
      </c>
      <c r="AA45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2">
      <c r="A452" s="42" t="n">
        <v>45671</v>
      </c>
      <c r="B452" s="43" t="n">
        <v>20757.4102</v>
      </c>
      <c r="C452" s="43" t="n">
        <v>5045.9502</v>
      </c>
      <c r="D452" s="43" t="n">
        <v>38.0238</v>
      </c>
      <c r="E452" s="43" t="n">
        <v>16.1306</v>
      </c>
      <c r="F452" s="44" t="n">
        <v>104</v>
      </c>
      <c r="G452" s="44" t="n">
        <v>726</v>
      </c>
      <c r="H452" s="43" t="n">
        <v>13.6408</v>
      </c>
      <c r="I452" s="43" t="n">
        <v>18.6634</v>
      </c>
      <c r="J452" s="44" t="n">
        <v>280</v>
      </c>
      <c r="K45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2" s="46">
        <f>(Dashboard!$C$13*tblHistory[[#This Row],[NDX S]]+Dashboard!$C$14*tblHistory[[#This Row],[SOX S]]+Dashboard!$C$15*tblHistory[[#This Row],[AIQ S]])/(Dashboard!$C$13+Dashboard!$C$14+Dashboard!$C$15)*100</f>
        <v/>
      </c>
      <c r="U452" s="46">
        <f>(Dashboard!$C$16*tblHistory[[#This Row],[DTCR S]]+Dashboard!$C$17*tblHistory[[#This Row],[BBB S]]+Dashboard!$C$18*tblHistory[[#This Row],[CCC S]])/(Dashboard!$C$16+Dashboard!$C$17+Dashboard!$C$18)*100</f>
        <v/>
      </c>
      <c r="V452" s="46">
        <f>(Dashboard!$C$19*tblHistory[[#This Row],[BIZD S]]+Dashboard!$C$20*tblHistory[[#This Row],[BKLN S]]+Dashboard!$C$21*tblHistory[[#This Row],[HY S]])/(Dashboard!$C$19+Dashboard!$C$20+Dashboard!$C$21)*100</f>
        <v/>
      </c>
      <c r="W45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2" s="46">
        <f>IFERROR(--(tblHistory[[#This Row],[Score]]&gt;=50),0)</f>
        <v/>
      </c>
      <c r="Y452" s="46">
        <f>IFERROR(--AND(tblHistory[[#This Row],[Score]]&gt;=60,OR(AND(tblHistory[[#This Row],[BIZD S]]&gt;=0.8,tblHistory[[#This Row],[BKLN S]]&gt;=0.5),tblHistory[[#This Row],[CCC S]]&gt;=0.8)),0)</f>
        <v/>
      </c>
      <c r="Z452" s="46">
        <f>IFERROR(--AND(tblHistory[[#This Row],[Score]]&gt;=70,tblHistory[[#This Row],[SOX S]]&gt;=0.83,tblHistory[[#This Row],[AIQ S]]&gt;=0.8),0)</f>
        <v/>
      </c>
      <c r="AA45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3">
      <c r="A453" s="42" t="n">
        <v>45670</v>
      </c>
      <c r="B453" s="43" t="n">
        <v>20784.7207</v>
      </c>
      <c r="C453" s="43" t="n">
        <v>5020.04</v>
      </c>
      <c r="D453" s="43" t="n">
        <v>37.924</v>
      </c>
      <c r="E453" s="43" t="n">
        <v>15.9238</v>
      </c>
      <c r="F453" s="44" t="n">
        <v>104</v>
      </c>
      <c r="G453" s="44" t="n">
        <v>738</v>
      </c>
      <c r="H453" s="43" t="n">
        <v>13.4935</v>
      </c>
      <c r="I453" s="43" t="n">
        <v>18.6634</v>
      </c>
      <c r="J453" s="44" t="n">
        <v>285</v>
      </c>
      <c r="K45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3" s="46">
        <f>(Dashboard!$C$13*tblHistory[[#This Row],[NDX S]]+Dashboard!$C$14*tblHistory[[#This Row],[SOX S]]+Dashboard!$C$15*tblHistory[[#This Row],[AIQ S]])/(Dashboard!$C$13+Dashboard!$C$14+Dashboard!$C$15)*100</f>
        <v/>
      </c>
      <c r="U453" s="46">
        <f>(Dashboard!$C$16*tblHistory[[#This Row],[DTCR S]]+Dashboard!$C$17*tblHistory[[#This Row],[BBB S]]+Dashboard!$C$18*tblHistory[[#This Row],[CCC S]])/(Dashboard!$C$16+Dashboard!$C$17+Dashboard!$C$18)*100</f>
        <v/>
      </c>
      <c r="V453" s="46">
        <f>(Dashboard!$C$19*tblHistory[[#This Row],[BIZD S]]+Dashboard!$C$20*tblHistory[[#This Row],[BKLN S]]+Dashboard!$C$21*tblHistory[[#This Row],[HY S]])/(Dashboard!$C$19+Dashboard!$C$20+Dashboard!$C$21)*100</f>
        <v/>
      </c>
      <c r="W45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3" s="46">
        <f>IFERROR(--(tblHistory[[#This Row],[Score]]&gt;=50),0)</f>
        <v/>
      </c>
      <c r="Y453" s="46">
        <f>IFERROR(--AND(tblHistory[[#This Row],[Score]]&gt;=60,OR(AND(tblHistory[[#This Row],[BIZD S]]&gt;=0.8,tblHistory[[#This Row],[BKLN S]]&gt;=0.5),tblHistory[[#This Row],[CCC S]]&gt;=0.8)),0)</f>
        <v/>
      </c>
      <c r="Z453" s="46">
        <f>IFERROR(--AND(tblHistory[[#This Row],[Score]]&gt;=70,tblHistory[[#This Row],[SOX S]]&gt;=0.83,tblHistory[[#This Row],[AIQ S]]&gt;=0.8),0)</f>
        <v/>
      </c>
      <c r="AA45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4">
      <c r="A454" s="42" t="n">
        <v>45667</v>
      </c>
      <c r="B454" s="43" t="n">
        <v>20847.5801</v>
      </c>
      <c r="C454" s="43" t="n">
        <v>5037.4702</v>
      </c>
      <c r="D454" s="43" t="n">
        <v>38.1236</v>
      </c>
      <c r="E454" s="43" t="n">
        <v>16.3768</v>
      </c>
      <c r="F454" s="44" t="n">
        <v>103</v>
      </c>
      <c r="G454" s="44" t="n">
        <v>732</v>
      </c>
      <c r="H454" s="43" t="n">
        <v>13.4363</v>
      </c>
      <c r="I454" s="43" t="n">
        <v>18.6634</v>
      </c>
      <c r="J454" s="44" t="n">
        <v>281</v>
      </c>
      <c r="K45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4" s="46">
        <f>(Dashboard!$C$13*tblHistory[[#This Row],[NDX S]]+Dashboard!$C$14*tblHistory[[#This Row],[SOX S]]+Dashboard!$C$15*tblHistory[[#This Row],[AIQ S]])/(Dashboard!$C$13+Dashboard!$C$14+Dashboard!$C$15)*100</f>
        <v/>
      </c>
      <c r="U454" s="46">
        <f>(Dashboard!$C$16*tblHistory[[#This Row],[DTCR S]]+Dashboard!$C$17*tblHistory[[#This Row],[BBB S]]+Dashboard!$C$18*tblHistory[[#This Row],[CCC S]])/(Dashboard!$C$16+Dashboard!$C$17+Dashboard!$C$18)*100</f>
        <v/>
      </c>
      <c r="V454" s="46">
        <f>(Dashboard!$C$19*tblHistory[[#This Row],[BIZD S]]+Dashboard!$C$20*tblHistory[[#This Row],[BKLN S]]+Dashboard!$C$21*tblHistory[[#This Row],[HY S]])/(Dashboard!$C$19+Dashboard!$C$20+Dashboard!$C$21)*100</f>
        <v/>
      </c>
      <c r="W45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4" s="46">
        <f>IFERROR(--(tblHistory[[#This Row],[Score]]&gt;=50),0)</f>
        <v/>
      </c>
      <c r="Y454" s="46">
        <f>IFERROR(--AND(tblHistory[[#This Row],[Score]]&gt;=60,OR(AND(tblHistory[[#This Row],[BIZD S]]&gt;=0.8,tblHistory[[#This Row],[BKLN S]]&gt;=0.5),tblHistory[[#This Row],[CCC S]]&gt;=0.8)),0)</f>
        <v/>
      </c>
      <c r="Z454" s="46">
        <f>IFERROR(--AND(tblHistory[[#This Row],[Score]]&gt;=70,tblHistory[[#This Row],[SOX S]]&gt;=0.83,tblHistory[[#This Row],[AIQ S]]&gt;=0.8),0)</f>
        <v/>
      </c>
      <c r="AA45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5">
      <c r="A455" s="42" t="n">
        <v>45665</v>
      </c>
      <c r="B455" s="43" t="n">
        <v>21180.9707</v>
      </c>
      <c r="C455" s="43" t="n">
        <v>5162.3501</v>
      </c>
      <c r="D455" s="43" t="n">
        <v>38.8422</v>
      </c>
      <c r="E455" s="43" t="n">
        <v>17.0169</v>
      </c>
      <c r="F455" s="44" t="n">
        <v>103</v>
      </c>
      <c r="G455" s="44" t="n">
        <v>737</v>
      </c>
      <c r="H455" s="43" t="n">
        <v>13.5017</v>
      </c>
      <c r="I455" s="43" t="n">
        <v>18.6811</v>
      </c>
      <c r="J455" s="44" t="n">
        <v>284</v>
      </c>
      <c r="K45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5" s="46">
        <f>(Dashboard!$C$13*tblHistory[[#This Row],[NDX S]]+Dashboard!$C$14*tblHistory[[#This Row],[SOX S]]+Dashboard!$C$15*tblHistory[[#This Row],[AIQ S]])/(Dashboard!$C$13+Dashboard!$C$14+Dashboard!$C$15)*100</f>
        <v/>
      </c>
      <c r="U455" s="46">
        <f>(Dashboard!$C$16*tblHistory[[#This Row],[DTCR S]]+Dashboard!$C$17*tblHistory[[#This Row],[BBB S]]+Dashboard!$C$18*tblHistory[[#This Row],[CCC S]])/(Dashboard!$C$16+Dashboard!$C$17+Dashboard!$C$18)*100</f>
        <v/>
      </c>
      <c r="V455" s="46">
        <f>(Dashboard!$C$19*tblHistory[[#This Row],[BIZD S]]+Dashboard!$C$20*tblHistory[[#This Row],[BKLN S]]+Dashboard!$C$21*tblHistory[[#This Row],[HY S]])/(Dashboard!$C$19+Dashboard!$C$20+Dashboard!$C$21)*100</f>
        <v/>
      </c>
      <c r="W45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5" s="46">
        <f>IFERROR(--(tblHistory[[#This Row],[Score]]&gt;=50),0)</f>
        <v/>
      </c>
      <c r="Y455" s="46">
        <f>IFERROR(--AND(tblHistory[[#This Row],[Score]]&gt;=60,OR(AND(tblHistory[[#This Row],[BIZD S]]&gt;=0.8,tblHistory[[#This Row],[BKLN S]]&gt;=0.5),tblHistory[[#This Row],[CCC S]]&gt;=0.8)),0)</f>
        <v/>
      </c>
      <c r="Z455" s="46">
        <f>IFERROR(--AND(tblHistory[[#This Row],[Score]]&gt;=70,tblHistory[[#This Row],[SOX S]]&gt;=0.83,tblHistory[[#This Row],[AIQ S]]&gt;=0.8),0)</f>
        <v/>
      </c>
      <c r="AA45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6">
      <c r="A456" s="42" t="n">
        <v>45664</v>
      </c>
      <c r="B456" s="43" t="n">
        <v>21173.0391</v>
      </c>
      <c r="C456" s="43" t="n">
        <v>5212.25</v>
      </c>
      <c r="D456" s="43" t="n">
        <v>38.8821</v>
      </c>
      <c r="E456" s="43" t="n">
        <v>16.8692</v>
      </c>
      <c r="F456" s="44" t="n">
        <v>104</v>
      </c>
      <c r="G456" s="44" t="n">
        <v>729</v>
      </c>
      <c r="H456" s="43" t="n">
        <v>13.5426</v>
      </c>
      <c r="I456" s="43" t="n">
        <v>18.69</v>
      </c>
      <c r="J456" s="44" t="n">
        <v>279</v>
      </c>
      <c r="K45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6" s="46">
        <f>(Dashboard!$C$13*tblHistory[[#This Row],[NDX S]]+Dashboard!$C$14*tblHistory[[#This Row],[SOX S]]+Dashboard!$C$15*tblHistory[[#This Row],[AIQ S]])/(Dashboard!$C$13+Dashboard!$C$14+Dashboard!$C$15)*100</f>
        <v/>
      </c>
      <c r="U456" s="46">
        <f>(Dashboard!$C$16*tblHistory[[#This Row],[DTCR S]]+Dashboard!$C$17*tblHistory[[#This Row],[BBB S]]+Dashboard!$C$18*tblHistory[[#This Row],[CCC S]])/(Dashboard!$C$16+Dashboard!$C$17+Dashboard!$C$18)*100</f>
        <v/>
      </c>
      <c r="V456" s="46">
        <f>(Dashboard!$C$19*tblHistory[[#This Row],[BIZD S]]+Dashboard!$C$20*tblHistory[[#This Row],[BKLN S]]+Dashboard!$C$21*tblHistory[[#This Row],[HY S]])/(Dashboard!$C$19+Dashboard!$C$20+Dashboard!$C$21)*100</f>
        <v/>
      </c>
      <c r="W45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6" s="46">
        <f>IFERROR(--(tblHistory[[#This Row],[Score]]&gt;=50),0)</f>
        <v/>
      </c>
      <c r="Y456" s="46">
        <f>IFERROR(--AND(tblHistory[[#This Row],[Score]]&gt;=60,OR(AND(tblHistory[[#This Row],[BIZD S]]&gt;=0.8,tblHistory[[#This Row],[BKLN S]]&gt;=0.5),tblHistory[[#This Row],[CCC S]]&gt;=0.8)),0)</f>
        <v/>
      </c>
      <c r="Z456" s="46">
        <f>IFERROR(--AND(tblHistory[[#This Row],[Score]]&gt;=70,tblHistory[[#This Row],[SOX S]]&gt;=0.83,tblHistory[[#This Row],[AIQ S]]&gt;=0.8),0)</f>
        <v/>
      </c>
      <c r="AA45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7">
      <c r="A457" s="42" t="n">
        <v>45663</v>
      </c>
      <c r="B457" s="43" t="n">
        <v>21559.5</v>
      </c>
      <c r="C457" s="43" t="n">
        <v>5310.1401</v>
      </c>
      <c r="D457" s="43" t="n">
        <v>39.5108</v>
      </c>
      <c r="E457" s="43" t="n">
        <v>16.8397</v>
      </c>
      <c r="F457" s="44" t="n">
        <v>103</v>
      </c>
      <c r="G457" s="44" t="n">
        <v>728</v>
      </c>
      <c r="H457" s="43" t="n">
        <v>13.5999</v>
      </c>
      <c r="I457" s="43" t="n">
        <v>18.6723</v>
      </c>
      <c r="J457" s="44" t="n">
        <v>276</v>
      </c>
      <c r="K45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7" s="46">
        <f>(Dashboard!$C$13*tblHistory[[#This Row],[NDX S]]+Dashboard!$C$14*tblHistory[[#This Row],[SOX S]]+Dashboard!$C$15*tblHistory[[#This Row],[AIQ S]])/(Dashboard!$C$13+Dashboard!$C$14+Dashboard!$C$15)*100</f>
        <v/>
      </c>
      <c r="U457" s="46">
        <f>(Dashboard!$C$16*tblHistory[[#This Row],[DTCR S]]+Dashboard!$C$17*tblHistory[[#This Row],[BBB S]]+Dashboard!$C$18*tblHistory[[#This Row],[CCC S]])/(Dashboard!$C$16+Dashboard!$C$17+Dashboard!$C$18)*100</f>
        <v/>
      </c>
      <c r="V457" s="46">
        <f>(Dashboard!$C$19*tblHistory[[#This Row],[BIZD S]]+Dashboard!$C$20*tblHistory[[#This Row],[BKLN S]]+Dashboard!$C$21*tblHistory[[#This Row],[HY S]])/(Dashboard!$C$19+Dashboard!$C$20+Dashboard!$C$21)*100</f>
        <v/>
      </c>
      <c r="W45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7" s="46">
        <f>IFERROR(--(tblHistory[[#This Row],[Score]]&gt;=50),0)</f>
        <v/>
      </c>
      <c r="Y457" s="46">
        <f>IFERROR(--AND(tblHistory[[#This Row],[Score]]&gt;=60,OR(AND(tblHistory[[#This Row],[BIZD S]]&gt;=0.8,tblHistory[[#This Row],[BKLN S]]&gt;=0.5),tblHistory[[#This Row],[CCC S]]&gt;=0.8)),0)</f>
        <v/>
      </c>
      <c r="Z457" s="46">
        <f>IFERROR(--AND(tblHistory[[#This Row],[Score]]&gt;=70,tblHistory[[#This Row],[SOX S]]&gt;=0.83,tblHistory[[#This Row],[AIQ S]]&gt;=0.8),0)</f>
        <v/>
      </c>
      <c r="AA45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8">
      <c r="A458" s="42" t="n">
        <v>45660</v>
      </c>
      <c r="B458" s="43" t="n">
        <v>21326.1602</v>
      </c>
      <c r="C458" s="43" t="n">
        <v>5163.6499</v>
      </c>
      <c r="D458" s="43" t="n">
        <v>39.0517</v>
      </c>
      <c r="E458" s="43" t="n">
        <v>16.7412</v>
      </c>
      <c r="F458" s="44" t="n">
        <v>102</v>
      </c>
      <c r="G458" s="44" t="n">
        <v>734</v>
      </c>
      <c r="H458" s="43" t="n">
        <v>13.7063</v>
      </c>
      <c r="I458" s="43" t="n">
        <v>18.6634</v>
      </c>
      <c r="J458" s="44" t="n">
        <v>281</v>
      </c>
      <c r="K45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8" s="46">
        <f>(Dashboard!$C$13*tblHistory[[#This Row],[NDX S]]+Dashboard!$C$14*tblHistory[[#This Row],[SOX S]]+Dashboard!$C$15*tblHistory[[#This Row],[AIQ S]])/(Dashboard!$C$13+Dashboard!$C$14+Dashboard!$C$15)*100</f>
        <v/>
      </c>
      <c r="U458" s="46">
        <f>(Dashboard!$C$16*tblHistory[[#This Row],[DTCR S]]+Dashboard!$C$17*tblHistory[[#This Row],[BBB S]]+Dashboard!$C$18*tblHistory[[#This Row],[CCC S]])/(Dashboard!$C$16+Dashboard!$C$17+Dashboard!$C$18)*100</f>
        <v/>
      </c>
      <c r="V458" s="46">
        <f>(Dashboard!$C$19*tblHistory[[#This Row],[BIZD S]]+Dashboard!$C$20*tblHistory[[#This Row],[BKLN S]]+Dashboard!$C$21*tblHistory[[#This Row],[HY S]])/(Dashboard!$C$19+Dashboard!$C$20+Dashboard!$C$21)*100</f>
        <v/>
      </c>
      <c r="W45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8" s="46">
        <f>IFERROR(--(tblHistory[[#This Row],[Score]]&gt;=50),0)</f>
        <v/>
      </c>
      <c r="Y458" s="46">
        <f>IFERROR(--AND(tblHistory[[#This Row],[Score]]&gt;=60,OR(AND(tblHistory[[#This Row],[BIZD S]]&gt;=0.8,tblHistory[[#This Row],[BKLN S]]&gt;=0.5),tblHistory[[#This Row],[CCC S]]&gt;=0.8)),0)</f>
        <v/>
      </c>
      <c r="Z458" s="46">
        <f>IFERROR(--AND(tblHistory[[#This Row],[Score]]&gt;=70,tblHistory[[#This Row],[SOX S]]&gt;=0.83,tblHistory[[#This Row],[AIQ S]]&gt;=0.8),0)</f>
        <v/>
      </c>
      <c r="AA45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59">
      <c r="A459" s="42" t="n">
        <v>45659</v>
      </c>
      <c r="B459" s="43" t="n">
        <v>20975.6191</v>
      </c>
      <c r="C459" s="43" t="n">
        <v>5021.5</v>
      </c>
      <c r="D459" s="43" t="n">
        <v>38.3831</v>
      </c>
      <c r="E459" s="43" t="n">
        <v>16.3374</v>
      </c>
      <c r="F459" s="44" t="n">
        <v>102</v>
      </c>
      <c r="G459" s="44" t="n">
        <v>739</v>
      </c>
      <c r="H459" s="43" t="n">
        <v>13.7308</v>
      </c>
      <c r="I459" s="43" t="n">
        <v>18.6369</v>
      </c>
      <c r="J459" s="44" t="n">
        <v>288</v>
      </c>
      <c r="K45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5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5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5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5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5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5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5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5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59" s="46">
        <f>(Dashboard!$C$13*tblHistory[[#This Row],[NDX S]]+Dashboard!$C$14*tblHistory[[#This Row],[SOX S]]+Dashboard!$C$15*tblHistory[[#This Row],[AIQ S]])/(Dashboard!$C$13+Dashboard!$C$14+Dashboard!$C$15)*100</f>
        <v/>
      </c>
      <c r="U459" s="46">
        <f>(Dashboard!$C$16*tblHistory[[#This Row],[DTCR S]]+Dashboard!$C$17*tblHistory[[#This Row],[BBB S]]+Dashboard!$C$18*tblHistory[[#This Row],[CCC S]])/(Dashboard!$C$16+Dashboard!$C$17+Dashboard!$C$18)*100</f>
        <v/>
      </c>
      <c r="V459" s="46">
        <f>(Dashboard!$C$19*tblHistory[[#This Row],[BIZD S]]+Dashboard!$C$20*tblHistory[[#This Row],[BKLN S]]+Dashboard!$C$21*tblHistory[[#This Row],[HY S]])/(Dashboard!$C$19+Dashboard!$C$20+Dashboard!$C$21)*100</f>
        <v/>
      </c>
      <c r="W45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59" s="46">
        <f>IFERROR(--(tblHistory[[#This Row],[Score]]&gt;=50),0)</f>
        <v/>
      </c>
      <c r="Y459" s="46">
        <f>IFERROR(--AND(tblHistory[[#This Row],[Score]]&gt;=60,OR(AND(tblHistory[[#This Row],[BIZD S]]&gt;=0.8,tblHistory[[#This Row],[BKLN S]]&gt;=0.5),tblHistory[[#This Row],[CCC S]]&gt;=0.8)),0)</f>
        <v/>
      </c>
      <c r="Z459" s="46">
        <f>IFERROR(--AND(tblHistory[[#This Row],[Score]]&gt;=70,tblHistory[[#This Row],[SOX S]]&gt;=0.83,tblHistory[[#This Row],[AIQ S]]&gt;=0.8),0)</f>
        <v/>
      </c>
      <c r="AA45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5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5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5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5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0">
      <c r="A460" s="42" t="n">
        <v>45657</v>
      </c>
      <c r="B460" s="43" t="n">
        <v>21012.1699</v>
      </c>
      <c r="C460" s="43" t="n">
        <v>4979.9302</v>
      </c>
      <c r="D460" s="43" t="n">
        <v>38.5627</v>
      </c>
      <c r="E460" s="43" t="n">
        <v>16.298</v>
      </c>
      <c r="F460" s="44" t="n">
        <v>102</v>
      </c>
      <c r="G460" s="44" t="n">
        <v>746</v>
      </c>
      <c r="H460" s="43" t="n">
        <v>13.6081</v>
      </c>
      <c r="I460" s="43" t="n">
        <v>18.6369</v>
      </c>
      <c r="J460" s="44" t="n">
        <v>292</v>
      </c>
      <c r="K46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0" s="46">
        <f>(Dashboard!$C$13*tblHistory[[#This Row],[NDX S]]+Dashboard!$C$14*tblHistory[[#This Row],[SOX S]]+Dashboard!$C$15*tblHistory[[#This Row],[AIQ S]])/(Dashboard!$C$13+Dashboard!$C$14+Dashboard!$C$15)*100</f>
        <v/>
      </c>
      <c r="U460" s="46">
        <f>(Dashboard!$C$16*tblHistory[[#This Row],[DTCR S]]+Dashboard!$C$17*tblHistory[[#This Row],[BBB S]]+Dashboard!$C$18*tblHistory[[#This Row],[CCC S]])/(Dashboard!$C$16+Dashboard!$C$17+Dashboard!$C$18)*100</f>
        <v/>
      </c>
      <c r="V460" s="46">
        <f>(Dashboard!$C$19*tblHistory[[#This Row],[BIZD S]]+Dashboard!$C$20*tblHistory[[#This Row],[BKLN S]]+Dashboard!$C$21*tblHistory[[#This Row],[HY S]])/(Dashboard!$C$19+Dashboard!$C$20+Dashboard!$C$21)*100</f>
        <v/>
      </c>
      <c r="W46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0" s="46">
        <f>IFERROR(--(tblHistory[[#This Row],[Score]]&gt;=50),0)</f>
        <v/>
      </c>
      <c r="Y460" s="46">
        <f>IFERROR(--AND(tblHistory[[#This Row],[Score]]&gt;=60,OR(AND(tblHistory[[#This Row],[BIZD S]]&gt;=0.8,tblHistory[[#This Row],[BKLN S]]&gt;=0.5),tblHistory[[#This Row],[CCC S]]&gt;=0.8)),0)</f>
        <v/>
      </c>
      <c r="Z460" s="46">
        <f>IFERROR(--AND(tblHistory[[#This Row],[Score]]&gt;=70,tblHistory[[#This Row],[SOX S]]&gt;=0.83,tblHistory[[#This Row],[AIQ S]]&gt;=0.8),0)</f>
        <v/>
      </c>
      <c r="AA46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1">
      <c r="A461" s="42" t="n">
        <v>45656</v>
      </c>
      <c r="B461" s="43" t="n">
        <v>21197.0898</v>
      </c>
      <c r="C461" s="43" t="n">
        <v>5026.5098</v>
      </c>
      <c r="D461" s="43" t="n">
        <v>38.8022</v>
      </c>
      <c r="E461" s="43" t="n">
        <v>16.3079</v>
      </c>
      <c r="F461" s="44" t="n">
        <v>101</v>
      </c>
      <c r="G461" s="44" t="n">
        <v>740</v>
      </c>
      <c r="H461" s="43" t="n">
        <v>13.5754</v>
      </c>
      <c r="I461" s="43" t="n">
        <v>18.6015</v>
      </c>
      <c r="J461" s="44" t="n">
        <v>294</v>
      </c>
      <c r="K46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1" s="46">
        <f>(Dashboard!$C$13*tblHistory[[#This Row],[NDX S]]+Dashboard!$C$14*tblHistory[[#This Row],[SOX S]]+Dashboard!$C$15*tblHistory[[#This Row],[AIQ S]])/(Dashboard!$C$13+Dashboard!$C$14+Dashboard!$C$15)*100</f>
        <v/>
      </c>
      <c r="U461" s="46">
        <f>(Dashboard!$C$16*tblHistory[[#This Row],[DTCR S]]+Dashboard!$C$17*tblHistory[[#This Row],[BBB S]]+Dashboard!$C$18*tblHistory[[#This Row],[CCC S]])/(Dashboard!$C$16+Dashboard!$C$17+Dashboard!$C$18)*100</f>
        <v/>
      </c>
      <c r="V461" s="46">
        <f>(Dashboard!$C$19*tblHistory[[#This Row],[BIZD S]]+Dashboard!$C$20*tblHistory[[#This Row],[BKLN S]]+Dashboard!$C$21*tblHistory[[#This Row],[HY S]])/(Dashboard!$C$19+Dashboard!$C$20+Dashboard!$C$21)*100</f>
        <v/>
      </c>
      <c r="W46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1" s="46">
        <f>IFERROR(--(tblHistory[[#This Row],[Score]]&gt;=50),0)</f>
        <v/>
      </c>
      <c r="Y461" s="46">
        <f>IFERROR(--AND(tblHistory[[#This Row],[Score]]&gt;=60,OR(AND(tblHistory[[#This Row],[BIZD S]]&gt;=0.8,tblHistory[[#This Row],[BKLN S]]&gt;=0.5),tblHistory[[#This Row],[CCC S]]&gt;=0.8)),0)</f>
        <v/>
      </c>
      <c r="Z461" s="46">
        <f>IFERROR(--AND(tblHistory[[#This Row],[Score]]&gt;=70,tblHistory[[#This Row],[SOX S]]&gt;=0.83,tblHistory[[#This Row],[AIQ S]]&gt;=0.8),0)</f>
        <v/>
      </c>
      <c r="AA46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2">
      <c r="A462" s="42" t="n">
        <v>45653</v>
      </c>
      <c r="B462" s="43" t="n">
        <v>21473.0195</v>
      </c>
      <c r="C462" s="43" t="n">
        <v>5122.9702</v>
      </c>
      <c r="D462" s="43" t="n">
        <v>39.3202</v>
      </c>
      <c r="E462" s="43" t="n">
        <v>16.2528</v>
      </c>
      <c r="F462" s="44" t="n">
        <v>100</v>
      </c>
      <c r="G462" s="44" t="n">
        <v>730</v>
      </c>
      <c r="H462" s="43" t="n">
        <v>13.5917</v>
      </c>
      <c r="I462" s="43" t="n">
        <v>18.6192</v>
      </c>
      <c r="J462" s="44" t="n">
        <v>284</v>
      </c>
      <c r="K46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2" s="46">
        <f>(Dashboard!$C$13*tblHistory[[#This Row],[NDX S]]+Dashboard!$C$14*tblHistory[[#This Row],[SOX S]]+Dashboard!$C$15*tblHistory[[#This Row],[AIQ S]])/(Dashboard!$C$13+Dashboard!$C$14+Dashboard!$C$15)*100</f>
        <v/>
      </c>
      <c r="U462" s="46">
        <f>(Dashboard!$C$16*tblHistory[[#This Row],[DTCR S]]+Dashboard!$C$17*tblHistory[[#This Row],[BBB S]]+Dashboard!$C$18*tblHistory[[#This Row],[CCC S]])/(Dashboard!$C$16+Dashboard!$C$17+Dashboard!$C$18)*100</f>
        <v/>
      </c>
      <c r="V462" s="46">
        <f>(Dashboard!$C$19*tblHistory[[#This Row],[BIZD S]]+Dashboard!$C$20*tblHistory[[#This Row],[BKLN S]]+Dashboard!$C$21*tblHistory[[#This Row],[HY S]])/(Dashboard!$C$19+Dashboard!$C$20+Dashboard!$C$21)*100</f>
        <v/>
      </c>
      <c r="W46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2" s="46">
        <f>IFERROR(--(tblHistory[[#This Row],[Score]]&gt;=50),0)</f>
        <v/>
      </c>
      <c r="Y462" s="46">
        <f>IFERROR(--AND(tblHistory[[#This Row],[Score]]&gt;=60,OR(AND(tblHistory[[#This Row],[BIZD S]]&gt;=0.8,tblHistory[[#This Row],[BKLN S]]&gt;=0.5),tblHistory[[#This Row],[CCC S]]&gt;=0.8)),0)</f>
        <v/>
      </c>
      <c r="Z462" s="46">
        <f>IFERROR(--AND(tblHistory[[#This Row],[Score]]&gt;=70,tblHistory[[#This Row],[SOX S]]&gt;=0.83,tblHistory[[#This Row],[AIQ S]]&gt;=0.8),0)</f>
        <v/>
      </c>
      <c r="AA46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3">
      <c r="A463" s="42" t="n">
        <v>45652</v>
      </c>
      <c r="B463" s="43" t="n">
        <v>21768.3105</v>
      </c>
      <c r="C463" s="43" t="n">
        <v>5175.3101</v>
      </c>
      <c r="D463" s="43" t="n">
        <v>39.839</v>
      </c>
      <c r="E463" s="43" t="n">
        <v>16.321</v>
      </c>
      <c r="F463" s="44" t="n">
        <v>100</v>
      </c>
      <c r="G463" s="44" t="n">
        <v>729</v>
      </c>
      <c r="H463" s="43" t="n">
        <v>13.5876</v>
      </c>
      <c r="I463" s="43" t="n">
        <v>18.6104</v>
      </c>
      <c r="J463" s="44" t="n">
        <v>286</v>
      </c>
      <c r="K46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3" s="46">
        <f>(Dashboard!$C$13*tblHistory[[#This Row],[NDX S]]+Dashboard!$C$14*tblHistory[[#This Row],[SOX S]]+Dashboard!$C$15*tblHistory[[#This Row],[AIQ S]])/(Dashboard!$C$13+Dashboard!$C$14+Dashboard!$C$15)*100</f>
        <v/>
      </c>
      <c r="U463" s="46">
        <f>(Dashboard!$C$16*tblHistory[[#This Row],[DTCR S]]+Dashboard!$C$17*tblHistory[[#This Row],[BBB S]]+Dashboard!$C$18*tblHistory[[#This Row],[CCC S]])/(Dashboard!$C$16+Dashboard!$C$17+Dashboard!$C$18)*100</f>
        <v/>
      </c>
      <c r="V463" s="46">
        <f>(Dashboard!$C$19*tblHistory[[#This Row],[BIZD S]]+Dashboard!$C$20*tblHistory[[#This Row],[BKLN S]]+Dashboard!$C$21*tblHistory[[#This Row],[HY S]])/(Dashboard!$C$19+Dashboard!$C$20+Dashboard!$C$21)*100</f>
        <v/>
      </c>
      <c r="W46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3" s="46">
        <f>IFERROR(--(tblHistory[[#This Row],[Score]]&gt;=50),0)</f>
        <v/>
      </c>
      <c r="Y463" s="46">
        <f>IFERROR(--AND(tblHistory[[#This Row],[Score]]&gt;=60,OR(AND(tblHistory[[#This Row],[BIZD S]]&gt;=0.8,tblHistory[[#This Row],[BKLN S]]&gt;=0.5),tblHistory[[#This Row],[CCC S]]&gt;=0.8)),0)</f>
        <v/>
      </c>
      <c r="Z463" s="46">
        <f>IFERROR(--AND(tblHistory[[#This Row],[Score]]&gt;=70,tblHistory[[#This Row],[SOX S]]&gt;=0.83,tblHistory[[#This Row],[AIQ S]]&gt;=0.8),0)</f>
        <v/>
      </c>
      <c r="AA46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4">
      <c r="A464" s="42" t="n">
        <v>45650</v>
      </c>
      <c r="B464" s="43" t="n">
        <v>21797.6504</v>
      </c>
      <c r="C464" s="43" t="n">
        <v>5173.5601</v>
      </c>
      <c r="D464" s="43" t="n">
        <v>39.859</v>
      </c>
      <c r="E464" s="43" t="n">
        <v>16.2235</v>
      </c>
      <c r="F464" s="44" t="n">
        <v>101</v>
      </c>
      <c r="G464" s="44" t="n">
        <v>730</v>
      </c>
      <c r="H464" s="43" t="n">
        <v>13.5</v>
      </c>
      <c r="I464" s="43" t="n">
        <v>18.6104</v>
      </c>
      <c r="J464" s="44" t="n">
        <v>286</v>
      </c>
      <c r="K46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4" s="46">
        <f>(Dashboard!$C$13*tblHistory[[#This Row],[NDX S]]+Dashboard!$C$14*tblHistory[[#This Row],[SOX S]]+Dashboard!$C$15*tblHistory[[#This Row],[AIQ S]])/(Dashboard!$C$13+Dashboard!$C$14+Dashboard!$C$15)*100</f>
        <v/>
      </c>
      <c r="U464" s="46">
        <f>(Dashboard!$C$16*tblHistory[[#This Row],[DTCR S]]+Dashboard!$C$17*tblHistory[[#This Row],[BBB S]]+Dashboard!$C$18*tblHistory[[#This Row],[CCC S]])/(Dashboard!$C$16+Dashboard!$C$17+Dashboard!$C$18)*100</f>
        <v/>
      </c>
      <c r="V464" s="46">
        <f>(Dashboard!$C$19*tblHistory[[#This Row],[BIZD S]]+Dashboard!$C$20*tblHistory[[#This Row],[BKLN S]]+Dashboard!$C$21*tblHistory[[#This Row],[HY S]])/(Dashboard!$C$19+Dashboard!$C$20+Dashboard!$C$21)*100</f>
        <v/>
      </c>
      <c r="W46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4" s="46">
        <f>IFERROR(--(tblHistory[[#This Row],[Score]]&gt;=50),0)</f>
        <v/>
      </c>
      <c r="Y464" s="46">
        <f>IFERROR(--AND(tblHistory[[#This Row],[Score]]&gt;=60,OR(AND(tblHistory[[#This Row],[BIZD S]]&gt;=0.8,tblHistory[[#This Row],[BKLN S]]&gt;=0.5),tblHistory[[#This Row],[CCC S]]&gt;=0.8)),0)</f>
        <v/>
      </c>
      <c r="Z464" s="46">
        <f>IFERROR(--AND(tblHistory[[#This Row],[Score]]&gt;=70,tblHistory[[#This Row],[SOX S]]&gt;=0.83,tblHistory[[#This Row],[AIQ S]]&gt;=0.8),0)</f>
        <v/>
      </c>
      <c r="AA46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5">
      <c r="A465" s="42" t="n">
        <v>45649</v>
      </c>
      <c r="B465" s="43" t="n">
        <v>21503.1699</v>
      </c>
      <c r="C465" s="43" t="n">
        <v>5118.75</v>
      </c>
      <c r="D465" s="43" t="n">
        <v>39.41</v>
      </c>
      <c r="E465" s="43" t="n">
        <v>16.0676</v>
      </c>
      <c r="F465" s="44" t="n">
        <v>102</v>
      </c>
      <c r="G465" s="44" t="n">
        <v>732</v>
      </c>
      <c r="H465" s="43" t="n">
        <v>13.3326</v>
      </c>
      <c r="I465" s="43" t="n">
        <v>18.5838</v>
      </c>
      <c r="J465" s="44" t="n">
        <v>285</v>
      </c>
      <c r="K46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5" s="46">
        <f>(Dashboard!$C$13*tblHistory[[#This Row],[NDX S]]+Dashboard!$C$14*tblHistory[[#This Row],[SOX S]]+Dashboard!$C$15*tblHistory[[#This Row],[AIQ S]])/(Dashboard!$C$13+Dashboard!$C$14+Dashboard!$C$15)*100</f>
        <v/>
      </c>
      <c r="U465" s="46">
        <f>(Dashboard!$C$16*tblHistory[[#This Row],[DTCR S]]+Dashboard!$C$17*tblHistory[[#This Row],[BBB S]]+Dashboard!$C$18*tblHistory[[#This Row],[CCC S]])/(Dashboard!$C$16+Dashboard!$C$17+Dashboard!$C$18)*100</f>
        <v/>
      </c>
      <c r="V465" s="46">
        <f>(Dashboard!$C$19*tblHistory[[#This Row],[BIZD S]]+Dashboard!$C$20*tblHistory[[#This Row],[BKLN S]]+Dashboard!$C$21*tblHistory[[#This Row],[HY S]])/(Dashboard!$C$19+Dashboard!$C$20+Dashboard!$C$21)*100</f>
        <v/>
      </c>
      <c r="W46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5" s="46">
        <f>IFERROR(--(tblHistory[[#This Row],[Score]]&gt;=50),0)</f>
        <v/>
      </c>
      <c r="Y465" s="46">
        <f>IFERROR(--AND(tblHistory[[#This Row],[Score]]&gt;=60,OR(AND(tblHistory[[#This Row],[BIZD S]]&gt;=0.8,tblHistory[[#This Row],[BKLN S]]&gt;=0.5),tblHistory[[#This Row],[CCC S]]&gt;=0.8)),0)</f>
        <v/>
      </c>
      <c r="Z465" s="46">
        <f>IFERROR(--AND(tblHistory[[#This Row],[Score]]&gt;=70,tblHistory[[#This Row],[SOX S]]&gt;=0.83,tblHistory[[#This Row],[AIQ S]]&gt;=0.8),0)</f>
        <v/>
      </c>
      <c r="AA46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6">
      <c r="A466" s="42" t="n">
        <v>45646</v>
      </c>
      <c r="B466" s="43" t="n">
        <v>21289.1504</v>
      </c>
      <c r="C466" s="43" t="n">
        <v>4964.9102</v>
      </c>
      <c r="D466" s="43" t="n">
        <v>39.1606</v>
      </c>
      <c r="E466" s="43" t="n">
        <v>15.9409</v>
      </c>
      <c r="F466" s="44" t="n">
        <v>102</v>
      </c>
      <c r="G466" s="44" t="n">
        <v>730</v>
      </c>
      <c r="H466" s="43" t="n">
        <v>13.3247</v>
      </c>
      <c r="I466" s="43" t="n">
        <v>18.575</v>
      </c>
      <c r="J466" s="44" t="n">
        <v>286</v>
      </c>
      <c r="K46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6" s="46">
        <f>(Dashboard!$C$13*tblHistory[[#This Row],[NDX S]]+Dashboard!$C$14*tblHistory[[#This Row],[SOX S]]+Dashboard!$C$15*tblHistory[[#This Row],[AIQ S]])/(Dashboard!$C$13+Dashboard!$C$14+Dashboard!$C$15)*100</f>
        <v/>
      </c>
      <c r="U466" s="46">
        <f>(Dashboard!$C$16*tblHistory[[#This Row],[DTCR S]]+Dashboard!$C$17*tblHistory[[#This Row],[BBB S]]+Dashboard!$C$18*tblHistory[[#This Row],[CCC S]])/(Dashboard!$C$16+Dashboard!$C$17+Dashboard!$C$18)*100</f>
        <v/>
      </c>
      <c r="V466" s="46">
        <f>(Dashboard!$C$19*tblHistory[[#This Row],[BIZD S]]+Dashboard!$C$20*tblHistory[[#This Row],[BKLN S]]+Dashboard!$C$21*tblHistory[[#This Row],[HY S]])/(Dashboard!$C$19+Dashboard!$C$20+Dashboard!$C$21)*100</f>
        <v/>
      </c>
      <c r="W46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6" s="46">
        <f>IFERROR(--(tblHistory[[#This Row],[Score]]&gt;=50),0)</f>
        <v/>
      </c>
      <c r="Y466" s="46">
        <f>IFERROR(--AND(tblHistory[[#This Row],[Score]]&gt;=60,OR(AND(tblHistory[[#This Row],[BIZD S]]&gt;=0.8,tblHistory[[#This Row],[BKLN S]]&gt;=0.5),tblHistory[[#This Row],[CCC S]]&gt;=0.8)),0)</f>
        <v/>
      </c>
      <c r="Z466" s="46">
        <f>IFERROR(--AND(tblHistory[[#This Row],[Score]]&gt;=70,tblHistory[[#This Row],[SOX S]]&gt;=0.83,tblHistory[[#This Row],[AIQ S]]&gt;=0.8),0)</f>
        <v/>
      </c>
      <c r="AA46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7">
      <c r="A467" s="42" t="n">
        <v>45645</v>
      </c>
      <c r="B467" s="43" t="n">
        <v>21110.5098</v>
      </c>
      <c r="C467" s="43" t="n">
        <v>4893.4702</v>
      </c>
      <c r="D467" s="43" t="n">
        <v>38.8812</v>
      </c>
      <c r="E467" s="43" t="n">
        <v>15.824</v>
      </c>
      <c r="F467" s="44" t="n">
        <v>102</v>
      </c>
      <c r="G467" s="44" t="n">
        <v>736</v>
      </c>
      <c r="H467" s="43" t="n">
        <v>13.2131</v>
      </c>
      <c r="I467" s="43" t="n">
        <v>18.5574</v>
      </c>
      <c r="J467" s="44" t="n">
        <v>291</v>
      </c>
      <c r="K46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7" s="46">
        <f>(Dashboard!$C$13*tblHistory[[#This Row],[NDX S]]+Dashboard!$C$14*tblHistory[[#This Row],[SOX S]]+Dashboard!$C$15*tblHistory[[#This Row],[AIQ S]])/(Dashboard!$C$13+Dashboard!$C$14+Dashboard!$C$15)*100</f>
        <v/>
      </c>
      <c r="U467" s="46">
        <f>(Dashboard!$C$16*tblHistory[[#This Row],[DTCR S]]+Dashboard!$C$17*tblHistory[[#This Row],[BBB S]]+Dashboard!$C$18*tblHistory[[#This Row],[CCC S]])/(Dashboard!$C$16+Dashboard!$C$17+Dashboard!$C$18)*100</f>
        <v/>
      </c>
      <c r="V467" s="46">
        <f>(Dashboard!$C$19*tblHistory[[#This Row],[BIZD S]]+Dashboard!$C$20*tblHistory[[#This Row],[BKLN S]]+Dashboard!$C$21*tblHistory[[#This Row],[HY S]])/(Dashboard!$C$19+Dashboard!$C$20+Dashboard!$C$21)*100</f>
        <v/>
      </c>
      <c r="W46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7" s="46">
        <f>IFERROR(--(tblHistory[[#This Row],[Score]]&gt;=50),0)</f>
        <v/>
      </c>
      <c r="Y467" s="46">
        <f>IFERROR(--AND(tblHistory[[#This Row],[Score]]&gt;=60,OR(AND(tblHistory[[#This Row],[BIZD S]]&gt;=0.8,tblHistory[[#This Row],[BKLN S]]&gt;=0.5),tblHistory[[#This Row],[CCC S]]&gt;=0.8)),0)</f>
        <v/>
      </c>
      <c r="Z467" s="46">
        <f>IFERROR(--AND(tblHistory[[#This Row],[Score]]&gt;=70,tblHistory[[#This Row],[SOX S]]&gt;=0.83,tblHistory[[#This Row],[AIQ S]]&gt;=0.8),0)</f>
        <v/>
      </c>
      <c r="AA46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8">
      <c r="A468" s="42" t="n">
        <v>45644</v>
      </c>
      <c r="B468" s="43" t="n">
        <v>21209.3203</v>
      </c>
      <c r="C468" s="43" t="n">
        <v>4970.98</v>
      </c>
      <c r="D468" s="43" t="n">
        <v>38.9111</v>
      </c>
      <c r="E468" s="43" t="n">
        <v>15.9604</v>
      </c>
      <c r="F468" s="44" t="n">
        <v>98</v>
      </c>
      <c r="G468" s="44" t="n">
        <v>716</v>
      </c>
      <c r="H468" s="43" t="n">
        <v>13.0856</v>
      </c>
      <c r="I468" s="43" t="n">
        <v>18.5574</v>
      </c>
      <c r="J468" s="44" t="n">
        <v>273</v>
      </c>
      <c r="K46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8" s="46">
        <f>(Dashboard!$C$13*tblHistory[[#This Row],[NDX S]]+Dashboard!$C$14*tblHistory[[#This Row],[SOX S]]+Dashboard!$C$15*tblHistory[[#This Row],[AIQ S]])/(Dashboard!$C$13+Dashboard!$C$14+Dashboard!$C$15)*100</f>
        <v/>
      </c>
      <c r="U468" s="46">
        <f>(Dashboard!$C$16*tblHistory[[#This Row],[DTCR S]]+Dashboard!$C$17*tblHistory[[#This Row],[BBB S]]+Dashboard!$C$18*tblHistory[[#This Row],[CCC S]])/(Dashboard!$C$16+Dashboard!$C$17+Dashboard!$C$18)*100</f>
        <v/>
      </c>
      <c r="V468" s="46">
        <f>(Dashboard!$C$19*tblHistory[[#This Row],[BIZD S]]+Dashboard!$C$20*tblHistory[[#This Row],[BKLN S]]+Dashboard!$C$21*tblHistory[[#This Row],[HY S]])/(Dashboard!$C$19+Dashboard!$C$20+Dashboard!$C$21)*100</f>
        <v/>
      </c>
      <c r="W46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8" s="46">
        <f>IFERROR(--(tblHistory[[#This Row],[Score]]&gt;=50),0)</f>
        <v/>
      </c>
      <c r="Y468" s="46">
        <f>IFERROR(--AND(tblHistory[[#This Row],[Score]]&gt;=60,OR(AND(tblHistory[[#This Row],[BIZD S]]&gt;=0.8,tblHistory[[#This Row],[BKLN S]]&gt;=0.5),tblHistory[[#This Row],[CCC S]]&gt;=0.8)),0)</f>
        <v/>
      </c>
      <c r="Z468" s="46">
        <f>IFERROR(--AND(tblHistory[[#This Row],[Score]]&gt;=70,tblHistory[[#This Row],[SOX S]]&gt;=0.83,tblHistory[[#This Row],[AIQ S]]&gt;=0.8),0)</f>
        <v/>
      </c>
      <c r="AA46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69">
      <c r="A469" s="42" t="n">
        <v>45643</v>
      </c>
      <c r="B469" s="43" t="n">
        <v>22001.0801</v>
      </c>
      <c r="C469" s="43" t="n">
        <v>5169.79</v>
      </c>
      <c r="D469" s="43" t="n">
        <v>40.4077</v>
      </c>
      <c r="E469" s="43" t="n">
        <v>16.6133</v>
      </c>
      <c r="F469" s="44" t="n">
        <v>99</v>
      </c>
      <c r="G469" s="44" t="n">
        <v>720</v>
      </c>
      <c r="H469" s="43" t="n">
        <v>13.2689</v>
      </c>
      <c r="I469" s="43" t="n">
        <v>18.6014</v>
      </c>
      <c r="J469" s="44" t="n">
        <v>275</v>
      </c>
      <c r="K46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6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6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6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6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6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6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6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6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69" s="46">
        <f>(Dashboard!$C$13*tblHistory[[#This Row],[NDX S]]+Dashboard!$C$14*tblHistory[[#This Row],[SOX S]]+Dashboard!$C$15*tblHistory[[#This Row],[AIQ S]])/(Dashboard!$C$13+Dashboard!$C$14+Dashboard!$C$15)*100</f>
        <v/>
      </c>
      <c r="U469" s="46">
        <f>(Dashboard!$C$16*tblHistory[[#This Row],[DTCR S]]+Dashboard!$C$17*tblHistory[[#This Row],[BBB S]]+Dashboard!$C$18*tblHistory[[#This Row],[CCC S]])/(Dashboard!$C$16+Dashboard!$C$17+Dashboard!$C$18)*100</f>
        <v/>
      </c>
      <c r="V469" s="46">
        <f>(Dashboard!$C$19*tblHistory[[#This Row],[BIZD S]]+Dashboard!$C$20*tblHistory[[#This Row],[BKLN S]]+Dashboard!$C$21*tblHistory[[#This Row],[HY S]])/(Dashboard!$C$19+Dashboard!$C$20+Dashboard!$C$21)*100</f>
        <v/>
      </c>
      <c r="W46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69" s="46">
        <f>IFERROR(--(tblHistory[[#This Row],[Score]]&gt;=50),0)</f>
        <v/>
      </c>
      <c r="Y469" s="46">
        <f>IFERROR(--AND(tblHistory[[#This Row],[Score]]&gt;=60,OR(AND(tblHistory[[#This Row],[BIZD S]]&gt;=0.8,tblHistory[[#This Row],[BKLN S]]&gt;=0.5),tblHistory[[#This Row],[CCC S]]&gt;=0.8)),0)</f>
        <v/>
      </c>
      <c r="Z469" s="46">
        <f>IFERROR(--AND(tblHistory[[#This Row],[Score]]&gt;=70,tblHistory[[#This Row],[SOX S]]&gt;=0.83,tblHistory[[#This Row],[AIQ S]]&gt;=0.8),0)</f>
        <v/>
      </c>
      <c r="AA46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6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6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6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6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0">
      <c r="A470" s="42" t="n">
        <v>45642</v>
      </c>
      <c r="B470" s="43" t="n">
        <v>22096.6602</v>
      </c>
      <c r="C470" s="43" t="n">
        <v>5256.0601</v>
      </c>
      <c r="D470" s="43" t="n">
        <v>40.4776</v>
      </c>
      <c r="E470" s="43" t="n">
        <v>16.623</v>
      </c>
      <c r="F470" s="44" t="n">
        <v>98</v>
      </c>
      <c r="G470" s="44" t="n">
        <v>716</v>
      </c>
      <c r="H470" s="43" t="n">
        <v>13.3167</v>
      </c>
      <c r="I470" s="43" t="n">
        <v>18.619</v>
      </c>
      <c r="J470" s="44" t="n">
        <v>269</v>
      </c>
      <c r="K47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0" s="46">
        <f>(Dashboard!$C$13*tblHistory[[#This Row],[NDX S]]+Dashboard!$C$14*tblHistory[[#This Row],[SOX S]]+Dashboard!$C$15*tblHistory[[#This Row],[AIQ S]])/(Dashboard!$C$13+Dashboard!$C$14+Dashboard!$C$15)*100</f>
        <v/>
      </c>
      <c r="U470" s="46">
        <f>(Dashboard!$C$16*tblHistory[[#This Row],[DTCR S]]+Dashboard!$C$17*tblHistory[[#This Row],[BBB S]]+Dashboard!$C$18*tblHistory[[#This Row],[CCC S]])/(Dashboard!$C$16+Dashboard!$C$17+Dashboard!$C$18)*100</f>
        <v/>
      </c>
      <c r="V470" s="46">
        <f>(Dashboard!$C$19*tblHistory[[#This Row],[BIZD S]]+Dashboard!$C$20*tblHistory[[#This Row],[BKLN S]]+Dashboard!$C$21*tblHistory[[#This Row],[HY S]])/(Dashboard!$C$19+Dashboard!$C$20+Dashboard!$C$21)*100</f>
        <v/>
      </c>
      <c r="W47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0" s="46">
        <f>IFERROR(--(tblHistory[[#This Row],[Score]]&gt;=50),0)</f>
        <v/>
      </c>
      <c r="Y470" s="46">
        <f>IFERROR(--AND(tblHistory[[#This Row],[Score]]&gt;=60,OR(AND(tblHistory[[#This Row],[BIZD S]]&gt;=0.8,tblHistory[[#This Row],[BKLN S]]&gt;=0.5),tblHistory[[#This Row],[CCC S]]&gt;=0.8)),0)</f>
        <v/>
      </c>
      <c r="Z470" s="46">
        <f>IFERROR(--AND(tblHistory[[#This Row],[Score]]&gt;=70,tblHistory[[#This Row],[SOX S]]&gt;=0.83,tblHistory[[#This Row],[AIQ S]]&gt;=0.8),0)</f>
        <v/>
      </c>
      <c r="AA47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1">
      <c r="A471" s="42" t="n">
        <v>45639</v>
      </c>
      <c r="B471" s="43" t="n">
        <v>21780.25</v>
      </c>
      <c r="C471" s="43" t="n">
        <v>5149.7798</v>
      </c>
      <c r="D471" s="43" t="n">
        <v>40.0485</v>
      </c>
      <c r="E471" s="43" t="n">
        <v>16.7984</v>
      </c>
      <c r="F471" s="44" t="n">
        <v>98</v>
      </c>
      <c r="G471" s="44" t="n">
        <v>716</v>
      </c>
      <c r="H471" s="43" t="n">
        <v>13.4203</v>
      </c>
      <c r="I471" s="43" t="n">
        <v>18.619</v>
      </c>
      <c r="J471" s="44" t="n">
        <v>268</v>
      </c>
      <c r="K47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1" s="46">
        <f>(Dashboard!$C$13*tblHistory[[#This Row],[NDX S]]+Dashboard!$C$14*tblHistory[[#This Row],[SOX S]]+Dashboard!$C$15*tblHistory[[#This Row],[AIQ S]])/(Dashboard!$C$13+Dashboard!$C$14+Dashboard!$C$15)*100</f>
        <v/>
      </c>
      <c r="U471" s="46">
        <f>(Dashboard!$C$16*tblHistory[[#This Row],[DTCR S]]+Dashboard!$C$17*tblHistory[[#This Row],[BBB S]]+Dashboard!$C$18*tblHistory[[#This Row],[CCC S]])/(Dashboard!$C$16+Dashboard!$C$17+Dashboard!$C$18)*100</f>
        <v/>
      </c>
      <c r="V471" s="46">
        <f>(Dashboard!$C$19*tblHistory[[#This Row],[BIZD S]]+Dashboard!$C$20*tblHistory[[#This Row],[BKLN S]]+Dashboard!$C$21*tblHistory[[#This Row],[HY S]])/(Dashboard!$C$19+Dashboard!$C$20+Dashboard!$C$21)*100</f>
        <v/>
      </c>
      <c r="W47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1" s="46">
        <f>IFERROR(--(tblHistory[[#This Row],[Score]]&gt;=50),0)</f>
        <v/>
      </c>
      <c r="Y471" s="46">
        <f>IFERROR(--AND(tblHistory[[#This Row],[Score]]&gt;=60,OR(AND(tblHistory[[#This Row],[BIZD S]]&gt;=0.8,tblHistory[[#This Row],[BKLN S]]&gt;=0.5),tblHistory[[#This Row],[CCC S]]&gt;=0.8)),0)</f>
        <v/>
      </c>
      <c r="Z471" s="46">
        <f>IFERROR(--AND(tblHistory[[#This Row],[Score]]&gt;=70,tblHistory[[#This Row],[SOX S]]&gt;=0.83,tblHistory[[#This Row],[AIQ S]]&gt;=0.8),0)</f>
        <v/>
      </c>
      <c r="AA47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2">
      <c r="A472" s="42" t="n">
        <v>45638</v>
      </c>
      <c r="B472" s="43" t="n">
        <v>21615.2695</v>
      </c>
      <c r="C472" s="43" t="n">
        <v>4982.1899</v>
      </c>
      <c r="D472" s="43" t="n">
        <v>39.9687</v>
      </c>
      <c r="E472" s="43" t="n">
        <v>16.8228</v>
      </c>
      <c r="F472" s="44" t="n">
        <v>99</v>
      </c>
      <c r="G472" s="44" t="n">
        <v>714</v>
      </c>
      <c r="H472" s="43" t="n">
        <v>13.4123</v>
      </c>
      <c r="I472" s="43" t="n">
        <v>18.6102</v>
      </c>
      <c r="J472" s="44" t="n">
        <v>266</v>
      </c>
      <c r="K47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2" s="46">
        <f>(Dashboard!$C$13*tblHistory[[#This Row],[NDX S]]+Dashboard!$C$14*tblHistory[[#This Row],[SOX S]]+Dashboard!$C$15*tblHistory[[#This Row],[AIQ S]])/(Dashboard!$C$13+Dashboard!$C$14+Dashboard!$C$15)*100</f>
        <v/>
      </c>
      <c r="U472" s="46">
        <f>(Dashboard!$C$16*tblHistory[[#This Row],[DTCR S]]+Dashboard!$C$17*tblHistory[[#This Row],[BBB S]]+Dashboard!$C$18*tblHistory[[#This Row],[CCC S]])/(Dashboard!$C$16+Dashboard!$C$17+Dashboard!$C$18)*100</f>
        <v/>
      </c>
      <c r="V472" s="46">
        <f>(Dashboard!$C$19*tblHistory[[#This Row],[BIZD S]]+Dashboard!$C$20*tblHistory[[#This Row],[BKLN S]]+Dashboard!$C$21*tblHistory[[#This Row],[HY S]])/(Dashboard!$C$19+Dashboard!$C$20+Dashboard!$C$21)*100</f>
        <v/>
      </c>
      <c r="W47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2" s="46">
        <f>IFERROR(--(tblHistory[[#This Row],[Score]]&gt;=50),0)</f>
        <v/>
      </c>
      <c r="Y472" s="46">
        <f>IFERROR(--AND(tblHistory[[#This Row],[Score]]&gt;=60,OR(AND(tblHistory[[#This Row],[BIZD S]]&gt;=0.8,tblHistory[[#This Row],[BKLN S]]&gt;=0.5),tblHistory[[#This Row],[CCC S]]&gt;=0.8)),0)</f>
        <v/>
      </c>
      <c r="Z472" s="46">
        <f>IFERROR(--AND(tblHistory[[#This Row],[Score]]&gt;=70,tblHistory[[#This Row],[SOX S]]&gt;=0.83,tblHistory[[#This Row],[AIQ S]]&gt;=0.8),0)</f>
        <v/>
      </c>
      <c r="AA47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3">
      <c r="A473" s="42" t="n">
        <v>45637</v>
      </c>
      <c r="B473" s="43" t="n">
        <v>21763.9805</v>
      </c>
      <c r="C473" s="43" t="n">
        <v>5027.7998</v>
      </c>
      <c r="D473" s="43" t="n">
        <v>40.2481</v>
      </c>
      <c r="E473" s="43" t="n">
        <v>16.9446</v>
      </c>
      <c r="F473" s="44" t="n">
        <v>98</v>
      </c>
      <c r="G473" s="44" t="n">
        <v>715</v>
      </c>
      <c r="H473" s="43" t="n">
        <v>13.4203</v>
      </c>
      <c r="I473" s="43" t="n">
        <v>18.5926</v>
      </c>
      <c r="J473" s="44" t="n">
        <v>264</v>
      </c>
      <c r="K47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3" s="46">
        <f>(Dashboard!$C$13*tblHistory[[#This Row],[NDX S]]+Dashboard!$C$14*tblHistory[[#This Row],[SOX S]]+Dashboard!$C$15*tblHistory[[#This Row],[AIQ S]])/(Dashboard!$C$13+Dashboard!$C$14+Dashboard!$C$15)*100</f>
        <v/>
      </c>
      <c r="U473" s="46">
        <f>(Dashboard!$C$16*tblHistory[[#This Row],[DTCR S]]+Dashboard!$C$17*tblHistory[[#This Row],[BBB S]]+Dashboard!$C$18*tblHistory[[#This Row],[CCC S]])/(Dashboard!$C$16+Dashboard!$C$17+Dashboard!$C$18)*100</f>
        <v/>
      </c>
      <c r="V473" s="46">
        <f>(Dashboard!$C$19*tblHistory[[#This Row],[BIZD S]]+Dashboard!$C$20*tblHistory[[#This Row],[BKLN S]]+Dashboard!$C$21*tblHistory[[#This Row],[HY S]])/(Dashboard!$C$19+Dashboard!$C$20+Dashboard!$C$21)*100</f>
        <v/>
      </c>
      <c r="W47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3" s="46">
        <f>IFERROR(--(tblHistory[[#This Row],[Score]]&gt;=50),0)</f>
        <v/>
      </c>
      <c r="Y473" s="46">
        <f>IFERROR(--AND(tblHistory[[#This Row],[Score]]&gt;=60,OR(AND(tblHistory[[#This Row],[BIZD S]]&gt;=0.8,tblHistory[[#This Row],[BKLN S]]&gt;=0.5),tblHistory[[#This Row],[CCC S]]&gt;=0.8)),0)</f>
        <v/>
      </c>
      <c r="Z473" s="46">
        <f>IFERROR(--AND(tblHistory[[#This Row],[Score]]&gt;=70,tblHistory[[#This Row],[SOX S]]&gt;=0.83,tblHistory[[#This Row],[AIQ S]]&gt;=0.8),0)</f>
        <v/>
      </c>
      <c r="AA47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4">
      <c r="A474" s="42" t="n">
        <v>45636</v>
      </c>
      <c r="B474" s="43" t="n">
        <v>21368.1797</v>
      </c>
      <c r="C474" s="43" t="n">
        <v>4894.7002</v>
      </c>
      <c r="D474" s="43" t="n">
        <v>39.6993</v>
      </c>
      <c r="E474" s="43" t="n">
        <v>16.8666</v>
      </c>
      <c r="F474" s="44" t="n">
        <v>100</v>
      </c>
      <c r="G474" s="44" t="n">
        <v>721</v>
      </c>
      <c r="H474" s="43" t="n">
        <v>13.4362</v>
      </c>
      <c r="I474" s="43" t="n">
        <v>18.5926</v>
      </c>
      <c r="J474" s="44" t="n">
        <v>267</v>
      </c>
      <c r="K47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4" s="46">
        <f>(Dashboard!$C$13*tblHistory[[#This Row],[NDX S]]+Dashboard!$C$14*tblHistory[[#This Row],[SOX S]]+Dashboard!$C$15*tblHistory[[#This Row],[AIQ S]])/(Dashboard!$C$13+Dashboard!$C$14+Dashboard!$C$15)*100</f>
        <v/>
      </c>
      <c r="U474" s="46">
        <f>(Dashboard!$C$16*tblHistory[[#This Row],[DTCR S]]+Dashboard!$C$17*tblHistory[[#This Row],[BBB S]]+Dashboard!$C$18*tblHistory[[#This Row],[CCC S]])/(Dashboard!$C$16+Dashboard!$C$17+Dashboard!$C$18)*100</f>
        <v/>
      </c>
      <c r="V474" s="46">
        <f>(Dashboard!$C$19*tblHistory[[#This Row],[BIZD S]]+Dashboard!$C$20*tblHistory[[#This Row],[BKLN S]]+Dashboard!$C$21*tblHistory[[#This Row],[HY S]])/(Dashboard!$C$19+Dashboard!$C$20+Dashboard!$C$21)*100</f>
        <v/>
      </c>
      <c r="W47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4" s="46">
        <f>IFERROR(--(tblHistory[[#This Row],[Score]]&gt;=50),0)</f>
        <v/>
      </c>
      <c r="Y474" s="46">
        <f>IFERROR(--AND(tblHistory[[#This Row],[Score]]&gt;=60,OR(AND(tblHistory[[#This Row],[BIZD S]]&gt;=0.8,tblHistory[[#This Row],[BKLN S]]&gt;=0.5),tblHistory[[#This Row],[CCC S]]&gt;=0.8)),0)</f>
        <v/>
      </c>
      <c r="Z474" s="46">
        <f>IFERROR(--AND(tblHistory[[#This Row],[Score]]&gt;=70,tblHistory[[#This Row],[SOX S]]&gt;=0.83,tblHistory[[#This Row],[AIQ S]]&gt;=0.8),0)</f>
        <v/>
      </c>
      <c r="AA47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5">
      <c r="A475" s="42" t="n">
        <v>45635</v>
      </c>
      <c r="B475" s="43" t="n">
        <v>21440.8203</v>
      </c>
      <c r="C475" s="43" t="n">
        <v>5018.8398</v>
      </c>
      <c r="D475" s="43" t="n">
        <v>40.1583</v>
      </c>
      <c r="E475" s="43" t="n">
        <v>17.1979</v>
      </c>
      <c r="F475" s="44" t="n">
        <v>101</v>
      </c>
      <c r="G475" s="44" t="n">
        <v>724</v>
      </c>
      <c r="H475" s="43" t="n">
        <v>13.4203</v>
      </c>
      <c r="I475" s="43" t="n">
        <v>18.5926</v>
      </c>
      <c r="J475" s="44" t="n">
        <v>267</v>
      </c>
      <c r="K47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5" s="46">
        <f>(Dashboard!$C$13*tblHistory[[#This Row],[NDX S]]+Dashboard!$C$14*tblHistory[[#This Row],[SOX S]]+Dashboard!$C$15*tblHistory[[#This Row],[AIQ S]])/(Dashboard!$C$13+Dashboard!$C$14+Dashboard!$C$15)*100</f>
        <v/>
      </c>
      <c r="U475" s="46">
        <f>(Dashboard!$C$16*tblHistory[[#This Row],[DTCR S]]+Dashboard!$C$17*tblHistory[[#This Row],[BBB S]]+Dashboard!$C$18*tblHistory[[#This Row],[CCC S]])/(Dashboard!$C$16+Dashboard!$C$17+Dashboard!$C$18)*100</f>
        <v/>
      </c>
      <c r="V475" s="46">
        <f>(Dashboard!$C$19*tblHistory[[#This Row],[BIZD S]]+Dashboard!$C$20*tblHistory[[#This Row],[BKLN S]]+Dashboard!$C$21*tblHistory[[#This Row],[HY S]])/(Dashboard!$C$19+Dashboard!$C$20+Dashboard!$C$21)*100</f>
        <v/>
      </c>
      <c r="W47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5" s="46">
        <f>IFERROR(--(tblHistory[[#This Row],[Score]]&gt;=50),0)</f>
        <v/>
      </c>
      <c r="Y475" s="46">
        <f>IFERROR(--AND(tblHistory[[#This Row],[Score]]&gt;=60,OR(AND(tblHistory[[#This Row],[BIZD S]]&gt;=0.8,tblHistory[[#This Row],[BKLN S]]&gt;=0.5),tblHistory[[#This Row],[CCC S]]&gt;=0.8)),0)</f>
        <v/>
      </c>
      <c r="Z475" s="46">
        <f>IFERROR(--AND(tblHistory[[#This Row],[Score]]&gt;=70,tblHistory[[#This Row],[SOX S]]&gt;=0.83,tblHistory[[#This Row],[AIQ S]]&gt;=0.8),0)</f>
        <v/>
      </c>
      <c r="AA47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6">
      <c r="A476" s="42" t="n">
        <v>45632</v>
      </c>
      <c r="B476" s="43" t="n">
        <v>21622.25</v>
      </c>
      <c r="C476" s="43" t="n">
        <v>5061.2998</v>
      </c>
      <c r="D476" s="43" t="n">
        <v>40.1683</v>
      </c>
      <c r="E476" s="43" t="n">
        <v>17.3051</v>
      </c>
      <c r="F476" s="44" t="n">
        <v>102</v>
      </c>
      <c r="G476" s="44" t="n">
        <v>730</v>
      </c>
      <c r="H476" s="43" t="n">
        <v>13.4522</v>
      </c>
      <c r="I476" s="43" t="n">
        <v>18.5926</v>
      </c>
      <c r="J476" s="44" t="n">
        <v>267</v>
      </c>
      <c r="K47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6" s="46">
        <f>(Dashboard!$C$13*tblHistory[[#This Row],[NDX S]]+Dashboard!$C$14*tblHistory[[#This Row],[SOX S]]+Dashboard!$C$15*tblHistory[[#This Row],[AIQ S]])/(Dashboard!$C$13+Dashboard!$C$14+Dashboard!$C$15)*100</f>
        <v/>
      </c>
      <c r="U476" s="46">
        <f>(Dashboard!$C$16*tblHistory[[#This Row],[DTCR S]]+Dashboard!$C$17*tblHistory[[#This Row],[BBB S]]+Dashboard!$C$18*tblHistory[[#This Row],[CCC S]])/(Dashboard!$C$16+Dashboard!$C$17+Dashboard!$C$18)*100</f>
        <v/>
      </c>
      <c r="V476" s="46">
        <f>(Dashboard!$C$19*tblHistory[[#This Row],[BIZD S]]+Dashboard!$C$20*tblHistory[[#This Row],[BKLN S]]+Dashboard!$C$21*tblHistory[[#This Row],[HY S]])/(Dashboard!$C$19+Dashboard!$C$20+Dashboard!$C$21)*100</f>
        <v/>
      </c>
      <c r="W47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6" s="46">
        <f>IFERROR(--(tblHistory[[#This Row],[Score]]&gt;=50),0)</f>
        <v/>
      </c>
      <c r="Y476" s="46">
        <f>IFERROR(--AND(tblHistory[[#This Row],[Score]]&gt;=60,OR(AND(tblHistory[[#This Row],[BIZD S]]&gt;=0.8,tblHistory[[#This Row],[BKLN S]]&gt;=0.5),tblHistory[[#This Row],[CCC S]]&gt;=0.8)),0)</f>
        <v/>
      </c>
      <c r="Z476" s="46">
        <f>IFERROR(--AND(tblHistory[[#This Row],[Score]]&gt;=70,tblHistory[[#This Row],[SOX S]]&gt;=0.83,tblHistory[[#This Row],[AIQ S]]&gt;=0.8),0)</f>
        <v/>
      </c>
      <c r="AA47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7">
      <c r="A477" s="42" t="n">
        <v>45631</v>
      </c>
      <c r="B477" s="43" t="n">
        <v>21425.2207</v>
      </c>
      <c r="C477" s="43" t="n">
        <v>5026.3701</v>
      </c>
      <c r="D477" s="43" t="n">
        <v>39.6395</v>
      </c>
      <c r="E477" s="43" t="n">
        <v>17.1882</v>
      </c>
      <c r="F477" s="44" t="n">
        <v>101</v>
      </c>
      <c r="G477" s="44" t="n">
        <v>727</v>
      </c>
      <c r="H477" s="43" t="n">
        <v>13.4043</v>
      </c>
      <c r="I477" s="43" t="n">
        <v>18.5838</v>
      </c>
      <c r="J477" s="44" t="n">
        <v>266</v>
      </c>
      <c r="K47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7" s="46">
        <f>(Dashboard!$C$13*tblHistory[[#This Row],[NDX S]]+Dashboard!$C$14*tblHistory[[#This Row],[SOX S]]+Dashboard!$C$15*tblHistory[[#This Row],[AIQ S]])/(Dashboard!$C$13+Dashboard!$C$14+Dashboard!$C$15)*100</f>
        <v/>
      </c>
      <c r="U477" s="46">
        <f>(Dashboard!$C$16*tblHistory[[#This Row],[DTCR S]]+Dashboard!$C$17*tblHistory[[#This Row],[BBB S]]+Dashboard!$C$18*tblHistory[[#This Row],[CCC S]])/(Dashboard!$C$16+Dashboard!$C$17+Dashboard!$C$18)*100</f>
        <v/>
      </c>
      <c r="V477" s="46">
        <f>(Dashboard!$C$19*tblHistory[[#This Row],[BIZD S]]+Dashboard!$C$20*tblHistory[[#This Row],[BKLN S]]+Dashboard!$C$21*tblHistory[[#This Row],[HY S]])/(Dashboard!$C$19+Dashboard!$C$20+Dashboard!$C$21)*100</f>
        <v/>
      </c>
      <c r="W47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7" s="46">
        <f>IFERROR(--(tblHistory[[#This Row],[Score]]&gt;=50),0)</f>
        <v/>
      </c>
      <c r="Y477" s="46">
        <f>IFERROR(--AND(tblHistory[[#This Row],[Score]]&gt;=60,OR(AND(tblHistory[[#This Row],[BIZD S]]&gt;=0.8,tblHistory[[#This Row],[BKLN S]]&gt;=0.5),tblHistory[[#This Row],[CCC S]]&gt;=0.8)),0)</f>
        <v/>
      </c>
      <c r="Z477" s="46">
        <f>IFERROR(--AND(tblHistory[[#This Row],[Score]]&gt;=70,tblHistory[[#This Row],[SOX S]]&gt;=0.83,tblHistory[[#This Row],[AIQ S]]&gt;=0.8),0)</f>
        <v/>
      </c>
      <c r="AA47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8">
      <c r="A478" s="42" t="n">
        <v>45630</v>
      </c>
      <c r="B478" s="43" t="n">
        <v>21492.3594</v>
      </c>
      <c r="C478" s="43" t="n">
        <v>5121.7798</v>
      </c>
      <c r="D478" s="43" t="n">
        <v>39.7792</v>
      </c>
      <c r="E478" s="43" t="n">
        <v>17.1394</v>
      </c>
      <c r="F478" s="44" t="n">
        <v>101</v>
      </c>
      <c r="G478" s="44" t="n">
        <v>731</v>
      </c>
      <c r="H478" s="43" t="n">
        <v>13.4362</v>
      </c>
      <c r="I478" s="43" t="n">
        <v>18.5838</v>
      </c>
      <c r="J478" s="44" t="n">
        <v>266</v>
      </c>
      <c r="K47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8" s="46">
        <f>(Dashboard!$C$13*tblHistory[[#This Row],[NDX S]]+Dashboard!$C$14*tblHistory[[#This Row],[SOX S]]+Dashboard!$C$15*tblHistory[[#This Row],[AIQ S]])/(Dashboard!$C$13+Dashboard!$C$14+Dashboard!$C$15)*100</f>
        <v/>
      </c>
      <c r="U478" s="46">
        <f>(Dashboard!$C$16*tblHistory[[#This Row],[DTCR S]]+Dashboard!$C$17*tblHistory[[#This Row],[BBB S]]+Dashboard!$C$18*tblHistory[[#This Row],[CCC S]])/(Dashboard!$C$16+Dashboard!$C$17+Dashboard!$C$18)*100</f>
        <v/>
      </c>
      <c r="V478" s="46">
        <f>(Dashboard!$C$19*tblHistory[[#This Row],[BIZD S]]+Dashboard!$C$20*tblHistory[[#This Row],[BKLN S]]+Dashboard!$C$21*tblHistory[[#This Row],[HY S]])/(Dashboard!$C$19+Dashboard!$C$20+Dashboard!$C$21)*100</f>
        <v/>
      </c>
      <c r="W47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8" s="46">
        <f>IFERROR(--(tblHistory[[#This Row],[Score]]&gt;=50),0)</f>
        <v/>
      </c>
      <c r="Y478" s="46">
        <f>IFERROR(--AND(tblHistory[[#This Row],[Score]]&gt;=60,OR(AND(tblHistory[[#This Row],[BIZD S]]&gt;=0.8,tblHistory[[#This Row],[BKLN S]]&gt;=0.5),tblHistory[[#This Row],[CCC S]]&gt;=0.8)),0)</f>
        <v/>
      </c>
      <c r="Z478" s="46">
        <f>IFERROR(--AND(tblHistory[[#This Row],[Score]]&gt;=70,tblHistory[[#This Row],[SOX S]]&gt;=0.83,tblHistory[[#This Row],[AIQ S]]&gt;=0.8),0)</f>
        <v/>
      </c>
      <c r="AA47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79">
      <c r="A479" s="42" t="n">
        <v>45629</v>
      </c>
      <c r="B479" s="43" t="n">
        <v>21229.3203</v>
      </c>
      <c r="C479" s="43" t="n">
        <v>5035.8599</v>
      </c>
      <c r="D479" s="43" t="n">
        <v>39.0608</v>
      </c>
      <c r="E479" s="43" t="n">
        <v>17.1394</v>
      </c>
      <c r="F479" s="44" t="n">
        <v>100</v>
      </c>
      <c r="G479" s="44" t="n">
        <v>732</v>
      </c>
      <c r="H479" s="43" t="n">
        <v>13.4283</v>
      </c>
      <c r="I479" s="43" t="n">
        <v>18.5926</v>
      </c>
      <c r="J479" s="44" t="n">
        <v>266</v>
      </c>
      <c r="K47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7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7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7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7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7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7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7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7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79" s="46">
        <f>(Dashboard!$C$13*tblHistory[[#This Row],[NDX S]]+Dashboard!$C$14*tblHistory[[#This Row],[SOX S]]+Dashboard!$C$15*tblHistory[[#This Row],[AIQ S]])/(Dashboard!$C$13+Dashboard!$C$14+Dashboard!$C$15)*100</f>
        <v/>
      </c>
      <c r="U479" s="46">
        <f>(Dashboard!$C$16*tblHistory[[#This Row],[DTCR S]]+Dashboard!$C$17*tblHistory[[#This Row],[BBB S]]+Dashboard!$C$18*tblHistory[[#This Row],[CCC S]])/(Dashboard!$C$16+Dashboard!$C$17+Dashboard!$C$18)*100</f>
        <v/>
      </c>
      <c r="V479" s="46">
        <f>(Dashboard!$C$19*tblHistory[[#This Row],[BIZD S]]+Dashboard!$C$20*tblHistory[[#This Row],[BKLN S]]+Dashboard!$C$21*tblHistory[[#This Row],[HY S]])/(Dashboard!$C$19+Dashboard!$C$20+Dashboard!$C$21)*100</f>
        <v/>
      </c>
      <c r="W47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79" s="46">
        <f>IFERROR(--(tblHistory[[#This Row],[Score]]&gt;=50),0)</f>
        <v/>
      </c>
      <c r="Y479" s="46">
        <f>IFERROR(--AND(tblHistory[[#This Row],[Score]]&gt;=60,OR(AND(tblHistory[[#This Row],[BIZD S]]&gt;=0.8,tblHistory[[#This Row],[BKLN S]]&gt;=0.5),tblHistory[[#This Row],[CCC S]]&gt;=0.8)),0)</f>
        <v/>
      </c>
      <c r="Z479" s="46">
        <f>IFERROR(--AND(tblHistory[[#This Row],[Score]]&gt;=70,tblHistory[[#This Row],[SOX S]]&gt;=0.83,tblHistory[[#This Row],[AIQ S]]&gt;=0.8),0)</f>
        <v/>
      </c>
      <c r="AA47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7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7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7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7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0">
      <c r="A480" s="42" t="n">
        <v>45628</v>
      </c>
      <c r="B480" s="43" t="n">
        <v>21164.5996</v>
      </c>
      <c r="C480" s="43" t="n">
        <v>5055.3198</v>
      </c>
      <c r="D480" s="43" t="n">
        <v>39.0309</v>
      </c>
      <c r="E480" s="43" t="n">
        <v>17.1394</v>
      </c>
      <c r="F480" s="44" t="n">
        <v>101</v>
      </c>
      <c r="G480" s="44" t="n">
        <v>732</v>
      </c>
      <c r="H480" s="43" t="n">
        <v>13.4283</v>
      </c>
      <c r="I480" s="43" t="n">
        <v>18.5838</v>
      </c>
      <c r="J480" s="44" t="n">
        <v>268</v>
      </c>
      <c r="K48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0" s="46">
        <f>(Dashboard!$C$13*tblHistory[[#This Row],[NDX S]]+Dashboard!$C$14*tblHistory[[#This Row],[SOX S]]+Dashboard!$C$15*tblHistory[[#This Row],[AIQ S]])/(Dashboard!$C$13+Dashboard!$C$14+Dashboard!$C$15)*100</f>
        <v/>
      </c>
      <c r="U480" s="46">
        <f>(Dashboard!$C$16*tblHistory[[#This Row],[DTCR S]]+Dashboard!$C$17*tblHistory[[#This Row],[BBB S]]+Dashboard!$C$18*tblHistory[[#This Row],[CCC S]])/(Dashboard!$C$16+Dashboard!$C$17+Dashboard!$C$18)*100</f>
        <v/>
      </c>
      <c r="V480" s="46">
        <f>(Dashboard!$C$19*tblHistory[[#This Row],[BIZD S]]+Dashboard!$C$20*tblHistory[[#This Row],[BKLN S]]+Dashboard!$C$21*tblHistory[[#This Row],[HY S]])/(Dashboard!$C$19+Dashboard!$C$20+Dashboard!$C$21)*100</f>
        <v/>
      </c>
      <c r="W48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0" s="46">
        <f>IFERROR(--(tblHistory[[#This Row],[Score]]&gt;=50),0)</f>
        <v/>
      </c>
      <c r="Y480" s="46">
        <f>IFERROR(--AND(tblHistory[[#This Row],[Score]]&gt;=60,OR(AND(tblHistory[[#This Row],[BIZD S]]&gt;=0.8,tblHistory[[#This Row],[BKLN S]]&gt;=0.5),tblHistory[[#This Row],[CCC S]]&gt;=0.8)),0)</f>
        <v/>
      </c>
      <c r="Z480" s="46">
        <f>IFERROR(--AND(tblHistory[[#This Row],[Score]]&gt;=70,tblHistory[[#This Row],[SOX S]]&gt;=0.83,tblHistory[[#This Row],[AIQ S]]&gt;=0.8),0)</f>
        <v/>
      </c>
      <c r="AA48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1">
      <c r="A481" s="42" t="n">
        <v>45625</v>
      </c>
      <c r="B481" s="43" t="n">
        <v>20930.3691</v>
      </c>
      <c r="C481" s="43" t="n">
        <v>4926.5601</v>
      </c>
      <c r="D481" s="43" t="n">
        <v>38.7315</v>
      </c>
      <c r="E481" s="43" t="n">
        <v>17.2369</v>
      </c>
      <c r="F481" s="44" t="n">
        <v>102</v>
      </c>
      <c r="G481" s="44" t="n">
        <v>726</v>
      </c>
      <c r="H481" s="43" t="n">
        <v>13.5</v>
      </c>
      <c r="I481" s="43" t="n">
        <v>18.5662</v>
      </c>
      <c r="J481" s="44" t="n">
        <v>272</v>
      </c>
      <c r="K48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1" s="46">
        <f>(Dashboard!$C$13*tblHistory[[#This Row],[NDX S]]+Dashboard!$C$14*tblHistory[[#This Row],[SOX S]]+Dashboard!$C$15*tblHistory[[#This Row],[AIQ S]])/(Dashboard!$C$13+Dashboard!$C$14+Dashboard!$C$15)*100</f>
        <v/>
      </c>
      <c r="U481" s="46">
        <f>(Dashboard!$C$16*tblHistory[[#This Row],[DTCR S]]+Dashboard!$C$17*tblHistory[[#This Row],[BBB S]]+Dashboard!$C$18*tblHistory[[#This Row],[CCC S]])/(Dashboard!$C$16+Dashboard!$C$17+Dashboard!$C$18)*100</f>
        <v/>
      </c>
      <c r="V481" s="46">
        <f>(Dashboard!$C$19*tblHistory[[#This Row],[BIZD S]]+Dashboard!$C$20*tblHistory[[#This Row],[BKLN S]]+Dashboard!$C$21*tblHistory[[#This Row],[HY S]])/(Dashboard!$C$19+Dashboard!$C$20+Dashboard!$C$21)*100</f>
        <v/>
      </c>
      <c r="W48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1" s="46">
        <f>IFERROR(--(tblHistory[[#This Row],[Score]]&gt;=50),0)</f>
        <v/>
      </c>
      <c r="Y481" s="46">
        <f>IFERROR(--AND(tblHistory[[#This Row],[Score]]&gt;=60,OR(AND(tblHistory[[#This Row],[BIZD S]]&gt;=0.8,tblHistory[[#This Row],[BKLN S]]&gt;=0.5),tblHistory[[#This Row],[CCC S]]&gt;=0.8)),0)</f>
        <v/>
      </c>
      <c r="Z481" s="46">
        <f>IFERROR(--AND(tblHistory[[#This Row],[Score]]&gt;=70,tblHistory[[#This Row],[SOX S]]&gt;=0.83,tblHistory[[#This Row],[AIQ S]]&gt;=0.8),0)</f>
        <v/>
      </c>
      <c r="AA48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2">
      <c r="A482" s="42" t="n">
        <v>45623</v>
      </c>
      <c r="B482" s="43" t="n">
        <v>20744.4902</v>
      </c>
      <c r="C482" s="43" t="n">
        <v>4853.0098</v>
      </c>
      <c r="D482" s="43" t="n">
        <v>38.4921</v>
      </c>
      <c r="E482" s="43" t="n">
        <v>17.1589</v>
      </c>
      <c r="F482" s="44" t="n">
        <v>102</v>
      </c>
      <c r="G482" s="44" t="n">
        <v>722</v>
      </c>
      <c r="H482" s="43" t="n">
        <v>13.3884</v>
      </c>
      <c r="I482" s="43" t="n">
        <v>18.5486</v>
      </c>
      <c r="J482" s="44" t="n">
        <v>269</v>
      </c>
      <c r="K48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2" s="46">
        <f>(Dashboard!$C$13*tblHistory[[#This Row],[NDX S]]+Dashboard!$C$14*tblHistory[[#This Row],[SOX S]]+Dashboard!$C$15*tblHistory[[#This Row],[AIQ S]])/(Dashboard!$C$13+Dashboard!$C$14+Dashboard!$C$15)*100</f>
        <v/>
      </c>
      <c r="U482" s="46">
        <f>(Dashboard!$C$16*tblHistory[[#This Row],[DTCR S]]+Dashboard!$C$17*tblHistory[[#This Row],[BBB S]]+Dashboard!$C$18*tblHistory[[#This Row],[CCC S]])/(Dashboard!$C$16+Dashboard!$C$17+Dashboard!$C$18)*100</f>
        <v/>
      </c>
      <c r="V482" s="46">
        <f>(Dashboard!$C$19*tblHistory[[#This Row],[BIZD S]]+Dashboard!$C$20*tblHistory[[#This Row],[BKLN S]]+Dashboard!$C$21*tblHistory[[#This Row],[HY S]])/(Dashboard!$C$19+Dashboard!$C$20+Dashboard!$C$21)*100</f>
        <v/>
      </c>
      <c r="W48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2" s="46">
        <f>IFERROR(--(tblHistory[[#This Row],[Score]]&gt;=50),0)</f>
        <v/>
      </c>
      <c r="Y482" s="46">
        <f>IFERROR(--AND(tblHistory[[#This Row],[Score]]&gt;=60,OR(AND(tblHistory[[#This Row],[BIZD S]]&gt;=0.8,tblHistory[[#This Row],[BKLN S]]&gt;=0.5),tblHistory[[#This Row],[CCC S]]&gt;=0.8)),0)</f>
        <v/>
      </c>
      <c r="Z482" s="46">
        <f>IFERROR(--AND(tblHistory[[#This Row],[Score]]&gt;=70,tblHistory[[#This Row],[SOX S]]&gt;=0.83,tblHistory[[#This Row],[AIQ S]]&gt;=0.8),0)</f>
        <v/>
      </c>
      <c r="AA48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3">
      <c r="A483" s="42" t="n">
        <v>45622</v>
      </c>
      <c r="B483" s="43" t="n">
        <v>20922.9004</v>
      </c>
      <c r="C483" s="43" t="n">
        <v>4927.5601</v>
      </c>
      <c r="D483" s="43" t="n">
        <v>38.8313</v>
      </c>
      <c r="E483" s="43" t="n">
        <v>17.081</v>
      </c>
      <c r="F483" s="44" t="n">
        <v>101</v>
      </c>
      <c r="G483" s="44" t="n">
        <v>718</v>
      </c>
      <c r="H483" s="43" t="n">
        <v>13.3247</v>
      </c>
      <c r="I483" s="43" t="n">
        <v>18.5398</v>
      </c>
      <c r="J483" s="44" t="n">
        <v>268</v>
      </c>
      <c r="K48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3" s="46">
        <f>(Dashboard!$C$13*tblHistory[[#This Row],[NDX S]]+Dashboard!$C$14*tblHistory[[#This Row],[SOX S]]+Dashboard!$C$15*tblHistory[[#This Row],[AIQ S]])/(Dashboard!$C$13+Dashboard!$C$14+Dashboard!$C$15)*100</f>
        <v/>
      </c>
      <c r="U483" s="46">
        <f>(Dashboard!$C$16*tblHistory[[#This Row],[DTCR S]]+Dashboard!$C$17*tblHistory[[#This Row],[BBB S]]+Dashboard!$C$18*tblHistory[[#This Row],[CCC S]])/(Dashboard!$C$16+Dashboard!$C$17+Dashboard!$C$18)*100</f>
        <v/>
      </c>
      <c r="V483" s="46">
        <f>(Dashboard!$C$19*tblHistory[[#This Row],[BIZD S]]+Dashboard!$C$20*tblHistory[[#This Row],[BKLN S]]+Dashboard!$C$21*tblHistory[[#This Row],[HY S]])/(Dashboard!$C$19+Dashboard!$C$20+Dashboard!$C$21)*100</f>
        <v/>
      </c>
      <c r="W48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3" s="46">
        <f>IFERROR(--(tblHistory[[#This Row],[Score]]&gt;=50),0)</f>
        <v/>
      </c>
      <c r="Y483" s="46">
        <f>IFERROR(--AND(tblHistory[[#This Row],[Score]]&gt;=60,OR(AND(tblHistory[[#This Row],[BIZD S]]&gt;=0.8,tblHistory[[#This Row],[BKLN S]]&gt;=0.5),tblHistory[[#This Row],[CCC S]]&gt;=0.8)),0)</f>
        <v/>
      </c>
      <c r="Z483" s="46">
        <f>IFERROR(--AND(tblHistory[[#This Row],[Score]]&gt;=70,tblHistory[[#This Row],[SOX S]]&gt;=0.83,tblHistory[[#This Row],[AIQ S]]&gt;=0.8),0)</f>
        <v/>
      </c>
      <c r="AA48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4">
      <c r="A484" s="42" t="n">
        <v>45621</v>
      </c>
      <c r="B484" s="43" t="n">
        <v>20804.8906</v>
      </c>
      <c r="C484" s="43" t="n">
        <v>4987.9199</v>
      </c>
      <c r="D484" s="43" t="n">
        <v>38.7515</v>
      </c>
      <c r="E484" s="43" t="n">
        <v>17.1882</v>
      </c>
      <c r="F484" s="44" t="n">
        <v>100</v>
      </c>
      <c r="G484" s="44" t="n">
        <v>716</v>
      </c>
      <c r="H484" s="43" t="n">
        <v>13.3406</v>
      </c>
      <c r="I484" s="43" t="n">
        <v>18.5486</v>
      </c>
      <c r="J484" s="44" t="n">
        <v>264</v>
      </c>
      <c r="K48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4" s="46">
        <f>(Dashboard!$C$13*tblHistory[[#This Row],[NDX S]]+Dashboard!$C$14*tblHistory[[#This Row],[SOX S]]+Dashboard!$C$15*tblHistory[[#This Row],[AIQ S]])/(Dashboard!$C$13+Dashboard!$C$14+Dashboard!$C$15)*100</f>
        <v/>
      </c>
      <c r="U484" s="46">
        <f>(Dashboard!$C$16*tblHistory[[#This Row],[DTCR S]]+Dashboard!$C$17*tblHistory[[#This Row],[BBB S]]+Dashboard!$C$18*tblHistory[[#This Row],[CCC S]])/(Dashboard!$C$16+Dashboard!$C$17+Dashboard!$C$18)*100</f>
        <v/>
      </c>
      <c r="V484" s="46">
        <f>(Dashboard!$C$19*tblHistory[[#This Row],[BIZD S]]+Dashboard!$C$20*tblHistory[[#This Row],[BKLN S]]+Dashboard!$C$21*tblHistory[[#This Row],[HY S]])/(Dashboard!$C$19+Dashboard!$C$20+Dashboard!$C$21)*100</f>
        <v/>
      </c>
      <c r="W48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4" s="46">
        <f>IFERROR(--(tblHistory[[#This Row],[Score]]&gt;=50),0)</f>
        <v/>
      </c>
      <c r="Y484" s="46">
        <f>IFERROR(--AND(tblHistory[[#This Row],[Score]]&gt;=60,OR(AND(tblHistory[[#This Row],[BIZD S]]&gt;=0.8,tblHistory[[#This Row],[BKLN S]]&gt;=0.5),tblHistory[[#This Row],[CCC S]]&gt;=0.8)),0)</f>
        <v/>
      </c>
      <c r="Z484" s="46">
        <f>IFERROR(--AND(tblHistory[[#This Row],[Score]]&gt;=70,tblHistory[[#This Row],[SOX S]]&gt;=0.83,tblHistory[[#This Row],[AIQ S]]&gt;=0.8),0)</f>
        <v/>
      </c>
      <c r="AA48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5">
      <c r="A485" s="42" t="n">
        <v>45618</v>
      </c>
      <c r="B485" s="43" t="n">
        <v>20776.2305</v>
      </c>
      <c r="C485" s="43" t="n">
        <v>4955.7998</v>
      </c>
      <c r="D485" s="43" t="n">
        <v>38.6018</v>
      </c>
      <c r="E485" s="43" t="n">
        <v>16.8958</v>
      </c>
      <c r="F485" s="44" t="n">
        <v>100</v>
      </c>
      <c r="G485" s="44" t="n">
        <v>710</v>
      </c>
      <c r="H485" s="43" t="n">
        <v>13.2848</v>
      </c>
      <c r="I485" s="43" t="n">
        <v>18.5486</v>
      </c>
      <c r="J485" s="44" t="n">
        <v>261</v>
      </c>
      <c r="K48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5" s="46">
        <f>(Dashboard!$C$13*tblHistory[[#This Row],[NDX S]]+Dashboard!$C$14*tblHistory[[#This Row],[SOX S]]+Dashboard!$C$15*tblHistory[[#This Row],[AIQ S]])/(Dashboard!$C$13+Dashboard!$C$14+Dashboard!$C$15)*100</f>
        <v/>
      </c>
      <c r="U485" s="46">
        <f>(Dashboard!$C$16*tblHistory[[#This Row],[DTCR S]]+Dashboard!$C$17*tblHistory[[#This Row],[BBB S]]+Dashboard!$C$18*tblHistory[[#This Row],[CCC S]])/(Dashboard!$C$16+Dashboard!$C$17+Dashboard!$C$18)*100</f>
        <v/>
      </c>
      <c r="V485" s="46">
        <f>(Dashboard!$C$19*tblHistory[[#This Row],[BIZD S]]+Dashboard!$C$20*tblHistory[[#This Row],[BKLN S]]+Dashboard!$C$21*tblHistory[[#This Row],[HY S]])/(Dashboard!$C$19+Dashboard!$C$20+Dashboard!$C$21)*100</f>
        <v/>
      </c>
      <c r="W48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5" s="46">
        <f>IFERROR(--(tblHistory[[#This Row],[Score]]&gt;=50),0)</f>
        <v/>
      </c>
      <c r="Y485" s="46">
        <f>IFERROR(--AND(tblHistory[[#This Row],[Score]]&gt;=60,OR(AND(tblHistory[[#This Row],[BIZD S]]&gt;=0.8,tblHistory[[#This Row],[BKLN S]]&gt;=0.5),tblHistory[[#This Row],[CCC S]]&gt;=0.8)),0)</f>
        <v/>
      </c>
      <c r="Z485" s="46">
        <f>IFERROR(--AND(tblHistory[[#This Row],[Score]]&gt;=70,tblHistory[[#This Row],[SOX S]]&gt;=0.83,tblHistory[[#This Row],[AIQ S]]&gt;=0.8),0)</f>
        <v/>
      </c>
      <c r="AA48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6">
      <c r="A486" s="42" t="n">
        <v>45617</v>
      </c>
      <c r="B486" s="43" t="n">
        <v>20740.7793</v>
      </c>
      <c r="C486" s="43" t="n">
        <v>4963.0498</v>
      </c>
      <c r="D486" s="43" t="n">
        <v>38.4123</v>
      </c>
      <c r="E486" s="43" t="n">
        <v>16.8666</v>
      </c>
      <c r="F486" s="44" t="n">
        <v>101</v>
      </c>
      <c r="G486" s="44" t="n">
        <v>706</v>
      </c>
      <c r="H486" s="43" t="n">
        <v>13.1334</v>
      </c>
      <c r="I486" s="43" t="n">
        <v>18.5574</v>
      </c>
      <c r="J486" s="44" t="n">
        <v>261</v>
      </c>
      <c r="K48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6" s="46">
        <f>(Dashboard!$C$13*tblHistory[[#This Row],[NDX S]]+Dashboard!$C$14*tblHistory[[#This Row],[SOX S]]+Dashboard!$C$15*tblHistory[[#This Row],[AIQ S]])/(Dashboard!$C$13+Dashboard!$C$14+Dashboard!$C$15)*100</f>
        <v/>
      </c>
      <c r="U486" s="46">
        <f>(Dashboard!$C$16*tblHistory[[#This Row],[DTCR S]]+Dashboard!$C$17*tblHistory[[#This Row],[BBB S]]+Dashboard!$C$18*tblHistory[[#This Row],[CCC S]])/(Dashboard!$C$16+Dashboard!$C$17+Dashboard!$C$18)*100</f>
        <v/>
      </c>
      <c r="V486" s="46">
        <f>(Dashboard!$C$19*tblHistory[[#This Row],[BIZD S]]+Dashboard!$C$20*tblHistory[[#This Row],[BKLN S]]+Dashboard!$C$21*tblHistory[[#This Row],[HY S]])/(Dashboard!$C$19+Dashboard!$C$20+Dashboard!$C$21)*100</f>
        <v/>
      </c>
      <c r="W48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6" s="46">
        <f>IFERROR(--(tblHistory[[#This Row],[Score]]&gt;=50),0)</f>
        <v/>
      </c>
      <c r="Y486" s="46">
        <f>IFERROR(--AND(tblHistory[[#This Row],[Score]]&gt;=60,OR(AND(tblHistory[[#This Row],[BIZD S]]&gt;=0.8,tblHistory[[#This Row],[BKLN S]]&gt;=0.5),tblHistory[[#This Row],[CCC S]]&gt;=0.8)),0)</f>
        <v/>
      </c>
      <c r="Z486" s="46">
        <f>IFERROR(--AND(tblHistory[[#This Row],[Score]]&gt;=70,tblHistory[[#This Row],[SOX S]]&gt;=0.83,tblHistory[[#This Row],[AIQ S]]&gt;=0.8),0)</f>
        <v/>
      </c>
      <c r="AA48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7">
      <c r="A487" s="42" t="n">
        <v>45616</v>
      </c>
      <c r="B487" s="43" t="n">
        <v>20667.0996</v>
      </c>
      <c r="C487" s="43" t="n">
        <v>4884.25</v>
      </c>
      <c r="D487" s="43" t="n">
        <v>38.103</v>
      </c>
      <c r="E487" s="43" t="n">
        <v>16.6425</v>
      </c>
      <c r="F487" s="44" t="n">
        <v>101</v>
      </c>
      <c r="G487" s="44" t="n">
        <v>719</v>
      </c>
      <c r="H487" s="43" t="n">
        <v>13.1334</v>
      </c>
      <c r="I487" s="43" t="n">
        <v>18.5398</v>
      </c>
      <c r="J487" s="44" t="n">
        <v>267</v>
      </c>
      <c r="K48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7" s="46">
        <f>(Dashboard!$C$13*tblHistory[[#This Row],[NDX S]]+Dashboard!$C$14*tblHistory[[#This Row],[SOX S]]+Dashboard!$C$15*tblHistory[[#This Row],[AIQ S]])/(Dashboard!$C$13+Dashboard!$C$14+Dashboard!$C$15)*100</f>
        <v/>
      </c>
      <c r="U487" s="46">
        <f>(Dashboard!$C$16*tblHistory[[#This Row],[DTCR S]]+Dashboard!$C$17*tblHistory[[#This Row],[BBB S]]+Dashboard!$C$18*tblHistory[[#This Row],[CCC S]])/(Dashboard!$C$16+Dashboard!$C$17+Dashboard!$C$18)*100</f>
        <v/>
      </c>
      <c r="V487" s="46">
        <f>(Dashboard!$C$19*tblHistory[[#This Row],[BIZD S]]+Dashboard!$C$20*tblHistory[[#This Row],[BKLN S]]+Dashboard!$C$21*tblHistory[[#This Row],[HY S]])/(Dashboard!$C$19+Dashboard!$C$20+Dashboard!$C$21)*100</f>
        <v/>
      </c>
      <c r="W48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7" s="46">
        <f>IFERROR(--(tblHistory[[#This Row],[Score]]&gt;=50),0)</f>
        <v/>
      </c>
      <c r="Y487" s="46">
        <f>IFERROR(--AND(tblHistory[[#This Row],[Score]]&gt;=60,OR(AND(tblHistory[[#This Row],[BIZD S]]&gt;=0.8,tblHistory[[#This Row],[BKLN S]]&gt;=0.5),tblHistory[[#This Row],[CCC S]]&gt;=0.8)),0)</f>
        <v/>
      </c>
      <c r="Z487" s="46">
        <f>IFERROR(--AND(tblHistory[[#This Row],[Score]]&gt;=70,tblHistory[[#This Row],[SOX S]]&gt;=0.83,tblHistory[[#This Row],[AIQ S]]&gt;=0.8),0)</f>
        <v/>
      </c>
      <c r="AA48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8">
      <c r="A488" s="42" t="n">
        <v>45615</v>
      </c>
      <c r="B488" s="43" t="n">
        <v>20684.5898</v>
      </c>
      <c r="C488" s="43" t="n">
        <v>4919.1602</v>
      </c>
      <c r="D488" s="43" t="n">
        <v>38.0631</v>
      </c>
      <c r="E488" s="43" t="n">
        <v>16.7789</v>
      </c>
      <c r="F488" s="44" t="n">
        <v>100</v>
      </c>
      <c r="G488" s="44" t="n">
        <v>722</v>
      </c>
      <c r="H488" s="43" t="n">
        <v>13.1812</v>
      </c>
      <c r="I488" s="43" t="n">
        <v>18.5398</v>
      </c>
      <c r="J488" s="44" t="n">
        <v>269</v>
      </c>
      <c r="K48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8" s="46">
        <f>(Dashboard!$C$13*tblHistory[[#This Row],[NDX S]]+Dashboard!$C$14*tblHistory[[#This Row],[SOX S]]+Dashboard!$C$15*tblHistory[[#This Row],[AIQ S]])/(Dashboard!$C$13+Dashboard!$C$14+Dashboard!$C$15)*100</f>
        <v/>
      </c>
      <c r="U488" s="46">
        <f>(Dashboard!$C$16*tblHistory[[#This Row],[DTCR S]]+Dashboard!$C$17*tblHistory[[#This Row],[BBB S]]+Dashboard!$C$18*tblHistory[[#This Row],[CCC S]])/(Dashboard!$C$16+Dashboard!$C$17+Dashboard!$C$18)*100</f>
        <v/>
      </c>
      <c r="V488" s="46">
        <f>(Dashboard!$C$19*tblHistory[[#This Row],[BIZD S]]+Dashboard!$C$20*tblHistory[[#This Row],[BKLN S]]+Dashboard!$C$21*tblHistory[[#This Row],[HY S]])/(Dashboard!$C$19+Dashboard!$C$20+Dashboard!$C$21)*100</f>
        <v/>
      </c>
      <c r="W48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8" s="46">
        <f>IFERROR(--(tblHistory[[#This Row],[Score]]&gt;=50),0)</f>
        <v/>
      </c>
      <c r="Y488" s="46">
        <f>IFERROR(--AND(tblHistory[[#This Row],[Score]]&gt;=60,OR(AND(tblHistory[[#This Row],[BIZD S]]&gt;=0.8,tblHistory[[#This Row],[BKLN S]]&gt;=0.5),tblHistory[[#This Row],[CCC S]]&gt;=0.8)),0)</f>
        <v/>
      </c>
      <c r="Z488" s="46">
        <f>IFERROR(--AND(tblHistory[[#This Row],[Score]]&gt;=70,tblHistory[[#This Row],[SOX S]]&gt;=0.83,tblHistory[[#This Row],[AIQ S]]&gt;=0.8),0)</f>
        <v/>
      </c>
      <c r="AA48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89">
      <c r="A489" s="42" t="n">
        <v>45614</v>
      </c>
      <c r="B489" s="43" t="n">
        <v>20539.1895</v>
      </c>
      <c r="C489" s="43" t="n">
        <v>4888.77</v>
      </c>
      <c r="D489" s="43" t="n">
        <v>37.7937</v>
      </c>
      <c r="E489" s="43" t="n">
        <v>16.701</v>
      </c>
      <c r="F489" s="44" t="n">
        <v>100</v>
      </c>
      <c r="G489" s="44" t="n">
        <v>725</v>
      </c>
      <c r="H489" s="43" t="n">
        <v>13.0856</v>
      </c>
      <c r="I489" s="43" t="n">
        <v>18.5486</v>
      </c>
      <c r="J489" s="44" t="n">
        <v>272</v>
      </c>
      <c r="K48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8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8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8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8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8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8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8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8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89" s="46">
        <f>(Dashboard!$C$13*tblHistory[[#This Row],[NDX S]]+Dashboard!$C$14*tblHistory[[#This Row],[SOX S]]+Dashboard!$C$15*tblHistory[[#This Row],[AIQ S]])/(Dashboard!$C$13+Dashboard!$C$14+Dashboard!$C$15)*100</f>
        <v/>
      </c>
      <c r="U489" s="46">
        <f>(Dashboard!$C$16*tblHistory[[#This Row],[DTCR S]]+Dashboard!$C$17*tblHistory[[#This Row],[BBB S]]+Dashboard!$C$18*tblHistory[[#This Row],[CCC S]])/(Dashboard!$C$16+Dashboard!$C$17+Dashboard!$C$18)*100</f>
        <v/>
      </c>
      <c r="V489" s="46">
        <f>(Dashboard!$C$19*tblHistory[[#This Row],[BIZD S]]+Dashboard!$C$20*tblHistory[[#This Row],[BKLN S]]+Dashboard!$C$21*tblHistory[[#This Row],[HY S]])/(Dashboard!$C$19+Dashboard!$C$20+Dashboard!$C$21)*100</f>
        <v/>
      </c>
      <c r="W48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89" s="46">
        <f>IFERROR(--(tblHistory[[#This Row],[Score]]&gt;=50),0)</f>
        <v/>
      </c>
      <c r="Y489" s="46">
        <f>IFERROR(--AND(tblHistory[[#This Row],[Score]]&gt;=60,OR(AND(tblHistory[[#This Row],[BIZD S]]&gt;=0.8,tblHistory[[#This Row],[BKLN S]]&gt;=0.5),tblHistory[[#This Row],[CCC S]]&gt;=0.8)),0)</f>
        <v/>
      </c>
      <c r="Z489" s="46">
        <f>IFERROR(--AND(tblHistory[[#This Row],[Score]]&gt;=70,tblHistory[[#This Row],[SOX S]]&gt;=0.83,tblHistory[[#This Row],[AIQ S]]&gt;=0.8),0)</f>
        <v/>
      </c>
      <c r="AA48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8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8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8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8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0">
      <c r="A490" s="42" t="n">
        <v>45611</v>
      </c>
      <c r="B490" s="43" t="n">
        <v>20394.1309</v>
      </c>
      <c r="C490" s="43" t="n">
        <v>4833.5898</v>
      </c>
      <c r="D490" s="43" t="n">
        <v>37.644</v>
      </c>
      <c r="E490" s="43" t="n">
        <v>16.3697</v>
      </c>
      <c r="F490" s="44" t="n">
        <v>101</v>
      </c>
      <c r="G490" s="44" t="n">
        <v>725</v>
      </c>
      <c r="H490" s="43" t="n">
        <v>12.9899</v>
      </c>
      <c r="I490" s="43" t="n">
        <v>18.5029</v>
      </c>
      <c r="J490" s="44" t="n">
        <v>272</v>
      </c>
      <c r="K49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0" s="46">
        <f>(Dashboard!$C$13*tblHistory[[#This Row],[NDX S]]+Dashboard!$C$14*tblHistory[[#This Row],[SOX S]]+Dashboard!$C$15*tblHistory[[#This Row],[AIQ S]])/(Dashboard!$C$13+Dashboard!$C$14+Dashboard!$C$15)*100</f>
        <v/>
      </c>
      <c r="U490" s="46">
        <f>(Dashboard!$C$16*tblHistory[[#This Row],[DTCR S]]+Dashboard!$C$17*tblHistory[[#This Row],[BBB S]]+Dashboard!$C$18*tblHistory[[#This Row],[CCC S]])/(Dashboard!$C$16+Dashboard!$C$17+Dashboard!$C$18)*100</f>
        <v/>
      </c>
      <c r="V490" s="46">
        <f>(Dashboard!$C$19*tblHistory[[#This Row],[BIZD S]]+Dashboard!$C$20*tblHistory[[#This Row],[BKLN S]]+Dashboard!$C$21*tblHistory[[#This Row],[HY S]])/(Dashboard!$C$19+Dashboard!$C$20+Dashboard!$C$21)*100</f>
        <v/>
      </c>
      <c r="W49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0" s="46">
        <f>IFERROR(--(tblHistory[[#This Row],[Score]]&gt;=50),0)</f>
        <v/>
      </c>
      <c r="Y490" s="46">
        <f>IFERROR(--AND(tblHistory[[#This Row],[Score]]&gt;=60,OR(AND(tblHistory[[#This Row],[BIZD S]]&gt;=0.8,tblHistory[[#This Row],[BKLN S]]&gt;=0.5),tblHistory[[#This Row],[CCC S]]&gt;=0.8)),0)</f>
        <v/>
      </c>
      <c r="Z490" s="46">
        <f>IFERROR(--AND(tblHistory[[#This Row],[Score]]&gt;=70,tblHistory[[#This Row],[SOX S]]&gt;=0.83,tblHistory[[#This Row],[AIQ S]]&gt;=0.8),0)</f>
        <v/>
      </c>
      <c r="AA49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1">
      <c r="A491" s="42" t="n">
        <v>45610</v>
      </c>
      <c r="B491" s="43" t="n">
        <v>20896.6699</v>
      </c>
      <c r="C491" s="43" t="n">
        <v>5004.5898</v>
      </c>
      <c r="D491" s="43" t="n">
        <v>38.2826</v>
      </c>
      <c r="E491" s="43" t="n">
        <v>16.3794</v>
      </c>
      <c r="F491" s="44" t="n">
        <v>100</v>
      </c>
      <c r="G491" s="44" t="n">
        <v>716</v>
      </c>
      <c r="H491" s="43" t="n">
        <v>12.9979</v>
      </c>
      <c r="I491" s="43" t="n">
        <v>18.4941</v>
      </c>
      <c r="J491" s="44" t="n">
        <v>260</v>
      </c>
      <c r="K49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1" s="46">
        <f>(Dashboard!$C$13*tblHistory[[#This Row],[NDX S]]+Dashboard!$C$14*tblHistory[[#This Row],[SOX S]]+Dashboard!$C$15*tblHistory[[#This Row],[AIQ S]])/(Dashboard!$C$13+Dashboard!$C$14+Dashboard!$C$15)*100</f>
        <v/>
      </c>
      <c r="U491" s="46">
        <f>(Dashboard!$C$16*tblHistory[[#This Row],[DTCR S]]+Dashboard!$C$17*tblHistory[[#This Row],[BBB S]]+Dashboard!$C$18*tblHistory[[#This Row],[CCC S]])/(Dashboard!$C$16+Dashboard!$C$17+Dashboard!$C$18)*100</f>
        <v/>
      </c>
      <c r="V491" s="46">
        <f>(Dashboard!$C$19*tblHistory[[#This Row],[BIZD S]]+Dashboard!$C$20*tblHistory[[#This Row],[BKLN S]]+Dashboard!$C$21*tblHistory[[#This Row],[HY S]])/(Dashboard!$C$19+Dashboard!$C$20+Dashboard!$C$21)*100</f>
        <v/>
      </c>
      <c r="W49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1" s="46">
        <f>IFERROR(--(tblHistory[[#This Row],[Score]]&gt;=50),0)</f>
        <v/>
      </c>
      <c r="Y491" s="46">
        <f>IFERROR(--AND(tblHistory[[#This Row],[Score]]&gt;=60,OR(AND(tblHistory[[#This Row],[BIZD S]]&gt;=0.8,tblHistory[[#This Row],[BKLN S]]&gt;=0.5),tblHistory[[#This Row],[CCC S]]&gt;=0.8)),0)</f>
        <v/>
      </c>
      <c r="Z491" s="46">
        <f>IFERROR(--AND(tblHistory[[#This Row],[Score]]&gt;=70,tblHistory[[#This Row],[SOX S]]&gt;=0.83,tblHistory[[#This Row],[AIQ S]]&gt;=0.8),0)</f>
        <v/>
      </c>
      <c r="AA49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2">
      <c r="A492" s="42" t="n">
        <v>45609</v>
      </c>
      <c r="B492" s="43" t="n">
        <v>21036.1602</v>
      </c>
      <c r="C492" s="43" t="n">
        <v>5006.29</v>
      </c>
      <c r="D492" s="43" t="n">
        <v>38.6617</v>
      </c>
      <c r="E492" s="43" t="n">
        <v>16.5158</v>
      </c>
      <c r="F492" s="44" t="n">
        <v>99</v>
      </c>
      <c r="G492" s="44" t="n">
        <v>725</v>
      </c>
      <c r="H492" s="43" t="n">
        <v>12.9979</v>
      </c>
      <c r="I492" s="43" t="n">
        <v>18.4941</v>
      </c>
      <c r="J492" s="44" t="n">
        <v>264</v>
      </c>
      <c r="K49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2" s="46">
        <f>(Dashboard!$C$13*tblHistory[[#This Row],[NDX S]]+Dashboard!$C$14*tblHistory[[#This Row],[SOX S]]+Dashboard!$C$15*tblHistory[[#This Row],[AIQ S]])/(Dashboard!$C$13+Dashboard!$C$14+Dashboard!$C$15)*100</f>
        <v/>
      </c>
      <c r="U492" s="46">
        <f>(Dashboard!$C$16*tblHistory[[#This Row],[DTCR S]]+Dashboard!$C$17*tblHistory[[#This Row],[BBB S]]+Dashboard!$C$18*tblHistory[[#This Row],[CCC S]])/(Dashboard!$C$16+Dashboard!$C$17+Dashboard!$C$18)*100</f>
        <v/>
      </c>
      <c r="V492" s="46">
        <f>(Dashboard!$C$19*tblHistory[[#This Row],[BIZD S]]+Dashboard!$C$20*tblHistory[[#This Row],[BKLN S]]+Dashboard!$C$21*tblHistory[[#This Row],[HY S]])/(Dashboard!$C$19+Dashboard!$C$20+Dashboard!$C$21)*100</f>
        <v/>
      </c>
      <c r="W49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2" s="46">
        <f>IFERROR(--(tblHistory[[#This Row],[Score]]&gt;=50),0)</f>
        <v/>
      </c>
      <c r="Y492" s="46">
        <f>IFERROR(--AND(tblHistory[[#This Row],[Score]]&gt;=60,OR(AND(tblHistory[[#This Row],[BIZD S]]&gt;=0.8,tblHistory[[#This Row],[BKLN S]]&gt;=0.5),tblHistory[[#This Row],[CCC S]]&gt;=0.8)),0)</f>
        <v/>
      </c>
      <c r="Z492" s="46">
        <f>IFERROR(--AND(tblHistory[[#This Row],[Score]]&gt;=70,tblHistory[[#This Row],[SOX S]]&gt;=0.83,tblHistory[[#This Row],[AIQ S]]&gt;=0.8),0)</f>
        <v/>
      </c>
      <c r="AA49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3">
      <c r="A493" s="42" t="n">
        <v>45608</v>
      </c>
      <c r="B493" s="43" t="n">
        <v>21070.7891</v>
      </c>
      <c r="C493" s="43" t="n">
        <v>5108.6401</v>
      </c>
      <c r="D493" s="43" t="n">
        <v>38.6817</v>
      </c>
      <c r="E493" s="43" t="n">
        <v>16.5451</v>
      </c>
      <c r="F493" s="44" t="n">
        <v>97</v>
      </c>
      <c r="G493" s="44" t="n">
        <v>719</v>
      </c>
      <c r="H493" s="43" t="n">
        <v>12.9421</v>
      </c>
      <c r="I493" s="43" t="n">
        <v>18.5116</v>
      </c>
      <c r="J493" s="44" t="n">
        <v>261</v>
      </c>
      <c r="K49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3" s="46">
        <f>(Dashboard!$C$13*tblHistory[[#This Row],[NDX S]]+Dashboard!$C$14*tblHistory[[#This Row],[SOX S]]+Dashboard!$C$15*tblHistory[[#This Row],[AIQ S]])/(Dashboard!$C$13+Dashboard!$C$14+Dashboard!$C$15)*100</f>
        <v/>
      </c>
      <c r="U493" s="46">
        <f>(Dashboard!$C$16*tblHistory[[#This Row],[DTCR S]]+Dashboard!$C$17*tblHistory[[#This Row],[BBB S]]+Dashboard!$C$18*tblHistory[[#This Row],[CCC S]])/(Dashboard!$C$16+Dashboard!$C$17+Dashboard!$C$18)*100</f>
        <v/>
      </c>
      <c r="V493" s="46">
        <f>(Dashboard!$C$19*tblHistory[[#This Row],[BIZD S]]+Dashboard!$C$20*tblHistory[[#This Row],[BKLN S]]+Dashboard!$C$21*tblHistory[[#This Row],[HY S]])/(Dashboard!$C$19+Dashboard!$C$20+Dashboard!$C$21)*100</f>
        <v/>
      </c>
      <c r="W49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3" s="46">
        <f>IFERROR(--(tblHistory[[#This Row],[Score]]&gt;=50),0)</f>
        <v/>
      </c>
      <c r="Y493" s="46">
        <f>IFERROR(--AND(tblHistory[[#This Row],[Score]]&gt;=60,OR(AND(tblHistory[[#This Row],[BIZD S]]&gt;=0.8,tblHistory[[#This Row],[BKLN S]]&gt;=0.5),tblHistory[[#This Row],[CCC S]]&gt;=0.8)),0)</f>
        <v/>
      </c>
      <c r="Z493" s="46">
        <f>IFERROR(--AND(tblHistory[[#This Row],[Score]]&gt;=70,tblHistory[[#This Row],[SOX S]]&gt;=0.83,tblHistory[[#This Row],[AIQ S]]&gt;=0.8),0)</f>
        <v/>
      </c>
      <c r="AA49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4">
      <c r="A494" s="42" t="n">
        <v>45607</v>
      </c>
      <c r="B494" s="43" t="n">
        <v>21106.5898</v>
      </c>
      <c r="C494" s="43" t="n">
        <v>5156.3901</v>
      </c>
      <c r="D494" s="43" t="n">
        <v>38.8613</v>
      </c>
      <c r="E494" s="43" t="n">
        <v>16.8569</v>
      </c>
      <c r="F494" s="44" t="n">
        <v>98</v>
      </c>
      <c r="G494" s="44" t="n">
        <v>721</v>
      </c>
      <c r="H494" s="43" t="n">
        <v>13.0298</v>
      </c>
      <c r="I494" s="43" t="n">
        <v>18.5203</v>
      </c>
      <c r="J494" s="44" t="n">
        <v>263</v>
      </c>
      <c r="K49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4" s="46">
        <f>(Dashboard!$C$13*tblHistory[[#This Row],[NDX S]]+Dashboard!$C$14*tblHistory[[#This Row],[SOX S]]+Dashboard!$C$15*tblHistory[[#This Row],[AIQ S]])/(Dashboard!$C$13+Dashboard!$C$14+Dashboard!$C$15)*100</f>
        <v/>
      </c>
      <c r="U494" s="46">
        <f>(Dashboard!$C$16*tblHistory[[#This Row],[DTCR S]]+Dashboard!$C$17*tblHistory[[#This Row],[BBB S]]+Dashboard!$C$18*tblHistory[[#This Row],[CCC S]])/(Dashboard!$C$16+Dashboard!$C$17+Dashboard!$C$18)*100</f>
        <v/>
      </c>
      <c r="V494" s="46">
        <f>(Dashboard!$C$19*tblHistory[[#This Row],[BIZD S]]+Dashboard!$C$20*tblHistory[[#This Row],[BKLN S]]+Dashboard!$C$21*tblHistory[[#This Row],[HY S]])/(Dashboard!$C$19+Dashboard!$C$20+Dashboard!$C$21)*100</f>
        <v/>
      </c>
      <c r="W49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4" s="46">
        <f>IFERROR(--(tblHistory[[#This Row],[Score]]&gt;=50),0)</f>
        <v/>
      </c>
      <c r="Y494" s="46">
        <f>IFERROR(--AND(tblHistory[[#This Row],[Score]]&gt;=60,OR(AND(tblHistory[[#This Row],[BIZD S]]&gt;=0.8,tblHistory[[#This Row],[BKLN S]]&gt;=0.5),tblHistory[[#This Row],[CCC S]]&gt;=0.8)),0)</f>
        <v/>
      </c>
      <c r="Z494" s="46">
        <f>IFERROR(--AND(tblHistory[[#This Row],[Score]]&gt;=70,tblHistory[[#This Row],[SOX S]]&gt;=0.83,tblHistory[[#This Row],[AIQ S]]&gt;=0.8),0)</f>
        <v/>
      </c>
      <c r="AA49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5">
      <c r="A495" s="42" t="n">
        <v>45604</v>
      </c>
      <c r="B495" s="43" t="n">
        <v>21117.1797</v>
      </c>
      <c r="C495" s="43" t="n">
        <v>5290.52</v>
      </c>
      <c r="D495" s="43" t="n">
        <v>38.6817</v>
      </c>
      <c r="E495" s="43" t="n">
        <v>16.8861</v>
      </c>
      <c r="F495" s="44" t="n">
        <v>98</v>
      </c>
      <c r="G495" s="44" t="n">
        <v>721</v>
      </c>
      <c r="H495" s="43" t="n">
        <v>13.0059</v>
      </c>
      <c r="I495" s="43" t="n">
        <v>18.4854</v>
      </c>
      <c r="J495" s="44" t="n">
        <v>263</v>
      </c>
      <c r="K49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5" s="46">
        <f>(Dashboard!$C$13*tblHistory[[#This Row],[NDX S]]+Dashboard!$C$14*tblHistory[[#This Row],[SOX S]]+Dashboard!$C$15*tblHistory[[#This Row],[AIQ S]])/(Dashboard!$C$13+Dashboard!$C$14+Dashboard!$C$15)*100</f>
        <v/>
      </c>
      <c r="U495" s="46">
        <f>(Dashboard!$C$16*tblHistory[[#This Row],[DTCR S]]+Dashboard!$C$17*tblHistory[[#This Row],[BBB S]]+Dashboard!$C$18*tblHistory[[#This Row],[CCC S]])/(Dashboard!$C$16+Dashboard!$C$17+Dashboard!$C$18)*100</f>
        <v/>
      </c>
      <c r="V495" s="46">
        <f>(Dashboard!$C$19*tblHistory[[#This Row],[BIZD S]]+Dashboard!$C$20*tblHistory[[#This Row],[BKLN S]]+Dashboard!$C$21*tblHistory[[#This Row],[HY S]])/(Dashboard!$C$19+Dashboard!$C$20+Dashboard!$C$21)*100</f>
        <v/>
      </c>
      <c r="W49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5" s="46">
        <f>IFERROR(--(tblHistory[[#This Row],[Score]]&gt;=50),0)</f>
        <v/>
      </c>
      <c r="Y495" s="46">
        <f>IFERROR(--AND(tblHistory[[#This Row],[Score]]&gt;=60,OR(AND(tblHistory[[#This Row],[BIZD S]]&gt;=0.8,tblHistory[[#This Row],[BKLN S]]&gt;=0.5),tblHistory[[#This Row],[CCC S]]&gt;=0.8)),0)</f>
        <v/>
      </c>
      <c r="Z495" s="46">
        <f>IFERROR(--AND(tblHistory[[#This Row],[Score]]&gt;=70,tblHistory[[#This Row],[SOX S]]&gt;=0.83,tblHistory[[#This Row],[AIQ S]]&gt;=0.8),0)</f>
        <v/>
      </c>
      <c r="AA49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6">
      <c r="A496" s="42" t="n">
        <v>45603</v>
      </c>
      <c r="B496" s="43" t="n">
        <v>21101.5703</v>
      </c>
      <c r="C496" s="43" t="n">
        <v>5333.9902</v>
      </c>
      <c r="D496" s="43" t="n">
        <v>39.0009</v>
      </c>
      <c r="E496" s="43" t="n">
        <v>16.9543</v>
      </c>
      <c r="F496" s="44" t="n">
        <v>99</v>
      </c>
      <c r="G496" s="44" t="n">
        <v>728</v>
      </c>
      <c r="H496" s="43" t="n">
        <v>13.0298</v>
      </c>
      <c r="I496" s="43" t="n">
        <v>18.4679</v>
      </c>
      <c r="J496" s="44" t="n">
        <v>273</v>
      </c>
      <c r="K49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6" s="46">
        <f>(Dashboard!$C$13*tblHistory[[#This Row],[NDX S]]+Dashboard!$C$14*tblHistory[[#This Row],[SOX S]]+Dashboard!$C$15*tblHistory[[#This Row],[AIQ S]])/(Dashboard!$C$13+Dashboard!$C$14+Dashboard!$C$15)*100</f>
        <v/>
      </c>
      <c r="U496" s="46">
        <f>(Dashboard!$C$16*tblHistory[[#This Row],[DTCR S]]+Dashboard!$C$17*tblHistory[[#This Row],[BBB S]]+Dashboard!$C$18*tblHistory[[#This Row],[CCC S]])/(Dashboard!$C$16+Dashboard!$C$17+Dashboard!$C$18)*100</f>
        <v/>
      </c>
      <c r="V496" s="46">
        <f>(Dashboard!$C$19*tblHistory[[#This Row],[BIZD S]]+Dashboard!$C$20*tblHistory[[#This Row],[BKLN S]]+Dashboard!$C$21*tblHistory[[#This Row],[HY S]])/(Dashboard!$C$19+Dashboard!$C$20+Dashboard!$C$21)*100</f>
        <v/>
      </c>
      <c r="W49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6" s="46">
        <f>IFERROR(--(tblHistory[[#This Row],[Score]]&gt;=50),0)</f>
        <v/>
      </c>
      <c r="Y496" s="46">
        <f>IFERROR(--AND(tblHistory[[#This Row],[Score]]&gt;=60,OR(AND(tblHistory[[#This Row],[BIZD S]]&gt;=0.8,tblHistory[[#This Row],[BKLN S]]&gt;=0.5),tblHistory[[#This Row],[CCC S]]&gt;=0.8)),0)</f>
        <v/>
      </c>
      <c r="Z496" s="46">
        <f>IFERROR(--AND(tblHistory[[#This Row],[Score]]&gt;=70,tblHistory[[#This Row],[SOX S]]&gt;=0.83,tblHistory[[#This Row],[AIQ S]]&gt;=0.8),0)</f>
        <v/>
      </c>
      <c r="AA49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7">
      <c r="A497" s="42" t="n">
        <v>45602</v>
      </c>
      <c r="B497" s="43" t="n">
        <v>20781.3301</v>
      </c>
      <c r="C497" s="43" t="n">
        <v>5215.5698</v>
      </c>
      <c r="D497" s="43" t="n">
        <v>38.1728</v>
      </c>
      <c r="E497" s="43" t="n">
        <v>16.4769</v>
      </c>
      <c r="F497" s="44" t="n">
        <v>101</v>
      </c>
      <c r="G497" s="44" t="n">
        <v>733</v>
      </c>
      <c r="H497" s="43" t="n">
        <v>13.0218</v>
      </c>
      <c r="I497" s="43" t="n">
        <v>18.4329</v>
      </c>
      <c r="J497" s="44" t="n">
        <v>274</v>
      </c>
      <c r="K49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7" s="46">
        <f>(Dashboard!$C$13*tblHistory[[#This Row],[NDX S]]+Dashboard!$C$14*tblHistory[[#This Row],[SOX S]]+Dashboard!$C$15*tblHistory[[#This Row],[AIQ S]])/(Dashboard!$C$13+Dashboard!$C$14+Dashboard!$C$15)*100</f>
        <v/>
      </c>
      <c r="U497" s="46">
        <f>(Dashboard!$C$16*tblHistory[[#This Row],[DTCR S]]+Dashboard!$C$17*tblHistory[[#This Row],[BBB S]]+Dashboard!$C$18*tblHistory[[#This Row],[CCC S]])/(Dashboard!$C$16+Dashboard!$C$17+Dashboard!$C$18)*100</f>
        <v/>
      </c>
      <c r="V497" s="46">
        <f>(Dashboard!$C$19*tblHistory[[#This Row],[BIZD S]]+Dashboard!$C$20*tblHistory[[#This Row],[BKLN S]]+Dashboard!$C$21*tblHistory[[#This Row],[HY S]])/(Dashboard!$C$19+Dashboard!$C$20+Dashboard!$C$21)*100</f>
        <v/>
      </c>
      <c r="W49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7" s="46">
        <f>IFERROR(--(tblHistory[[#This Row],[Score]]&gt;=50),0)</f>
        <v/>
      </c>
      <c r="Y497" s="46">
        <f>IFERROR(--AND(tblHistory[[#This Row],[Score]]&gt;=60,OR(AND(tblHistory[[#This Row],[BIZD S]]&gt;=0.8,tblHistory[[#This Row],[BKLN S]]&gt;=0.5),tblHistory[[#This Row],[CCC S]]&gt;=0.8)),0)</f>
        <v/>
      </c>
      <c r="Z497" s="46">
        <f>IFERROR(--AND(tblHistory[[#This Row],[Score]]&gt;=70,tblHistory[[#This Row],[SOX S]]&gt;=0.83,tblHistory[[#This Row],[AIQ S]]&gt;=0.8),0)</f>
        <v/>
      </c>
      <c r="AA49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8">
      <c r="A498" s="42" t="n">
        <v>45601</v>
      </c>
      <c r="B498" s="43" t="n">
        <v>20227.4609</v>
      </c>
      <c r="C498" s="43" t="n">
        <v>5057.8301</v>
      </c>
      <c r="D498" s="43" t="n">
        <v>37.3347</v>
      </c>
      <c r="E498" s="43" t="n">
        <v>16.9153</v>
      </c>
      <c r="F498" s="44" t="n">
        <v>106</v>
      </c>
      <c r="G498" s="44" t="n">
        <v>750</v>
      </c>
      <c r="H498" s="43" t="n">
        <v>12.7509</v>
      </c>
      <c r="I498" s="43" t="n">
        <v>18.3805</v>
      </c>
      <c r="J498" s="44" t="n">
        <v>286</v>
      </c>
      <c r="K49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8" s="46">
        <f>(Dashboard!$C$13*tblHistory[[#This Row],[NDX S]]+Dashboard!$C$14*tblHistory[[#This Row],[SOX S]]+Dashboard!$C$15*tblHistory[[#This Row],[AIQ S]])/(Dashboard!$C$13+Dashboard!$C$14+Dashboard!$C$15)*100</f>
        <v/>
      </c>
      <c r="U498" s="46">
        <f>(Dashboard!$C$16*tblHistory[[#This Row],[DTCR S]]+Dashboard!$C$17*tblHistory[[#This Row],[BBB S]]+Dashboard!$C$18*tblHistory[[#This Row],[CCC S]])/(Dashboard!$C$16+Dashboard!$C$17+Dashboard!$C$18)*100</f>
        <v/>
      </c>
      <c r="V498" s="46">
        <f>(Dashboard!$C$19*tblHistory[[#This Row],[BIZD S]]+Dashboard!$C$20*tblHistory[[#This Row],[BKLN S]]+Dashboard!$C$21*tblHistory[[#This Row],[HY S]])/(Dashboard!$C$19+Dashboard!$C$20+Dashboard!$C$21)*100</f>
        <v/>
      </c>
      <c r="W49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8" s="46">
        <f>IFERROR(--(tblHistory[[#This Row],[Score]]&gt;=50),0)</f>
        <v/>
      </c>
      <c r="Y498" s="46">
        <f>IFERROR(--AND(tblHistory[[#This Row],[Score]]&gt;=60,OR(AND(tblHistory[[#This Row],[BIZD S]]&gt;=0.8,tblHistory[[#This Row],[BKLN S]]&gt;=0.5),tblHistory[[#This Row],[CCC S]]&gt;=0.8)),0)</f>
        <v/>
      </c>
      <c r="Z498" s="46">
        <f>IFERROR(--AND(tblHistory[[#This Row],[Score]]&gt;=70,tblHistory[[#This Row],[SOX S]]&gt;=0.83,tblHistory[[#This Row],[AIQ S]]&gt;=0.8),0)</f>
        <v/>
      </c>
      <c r="AA49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499">
      <c r="A499" s="42" t="n">
        <v>45600</v>
      </c>
      <c r="B499" s="43" t="n">
        <v>19963.5996</v>
      </c>
      <c r="C499" s="43" t="n">
        <v>4974</v>
      </c>
      <c r="D499" s="43" t="n">
        <v>36.8459</v>
      </c>
      <c r="E499" s="43" t="n">
        <v>16.5548</v>
      </c>
      <c r="F499" s="44" t="n">
        <v>107</v>
      </c>
      <c r="G499" s="44" t="n">
        <v>751</v>
      </c>
      <c r="H499" s="43" t="n">
        <v>12.6712</v>
      </c>
      <c r="I499" s="43" t="n">
        <v>18.363</v>
      </c>
      <c r="J499" s="44" t="n">
        <v>287</v>
      </c>
      <c r="K49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49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49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49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49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49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49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49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49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499" s="46">
        <f>(Dashboard!$C$13*tblHistory[[#This Row],[NDX S]]+Dashboard!$C$14*tblHistory[[#This Row],[SOX S]]+Dashboard!$C$15*tblHistory[[#This Row],[AIQ S]])/(Dashboard!$C$13+Dashboard!$C$14+Dashboard!$C$15)*100</f>
        <v/>
      </c>
      <c r="U499" s="46">
        <f>(Dashboard!$C$16*tblHistory[[#This Row],[DTCR S]]+Dashboard!$C$17*tblHistory[[#This Row],[BBB S]]+Dashboard!$C$18*tblHistory[[#This Row],[CCC S]])/(Dashboard!$C$16+Dashboard!$C$17+Dashboard!$C$18)*100</f>
        <v/>
      </c>
      <c r="V499" s="46">
        <f>(Dashboard!$C$19*tblHistory[[#This Row],[BIZD S]]+Dashboard!$C$20*tblHistory[[#This Row],[BKLN S]]+Dashboard!$C$21*tblHistory[[#This Row],[HY S]])/(Dashboard!$C$19+Dashboard!$C$20+Dashboard!$C$21)*100</f>
        <v/>
      </c>
      <c r="W49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499" s="46">
        <f>IFERROR(--(tblHistory[[#This Row],[Score]]&gt;=50),0)</f>
        <v/>
      </c>
      <c r="Y499" s="46">
        <f>IFERROR(--AND(tblHistory[[#This Row],[Score]]&gt;=60,OR(AND(tblHistory[[#This Row],[BIZD S]]&gt;=0.8,tblHistory[[#This Row],[BKLN S]]&gt;=0.5),tblHistory[[#This Row],[CCC S]]&gt;=0.8)),0)</f>
        <v/>
      </c>
      <c r="Z499" s="46">
        <f>IFERROR(--AND(tblHistory[[#This Row],[Score]]&gt;=70,tblHistory[[#This Row],[SOX S]]&gt;=0.83,tblHistory[[#This Row],[AIQ S]]&gt;=0.8),0)</f>
        <v/>
      </c>
      <c r="AA49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49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49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49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49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0">
      <c r="A500" s="42" t="n">
        <v>45597</v>
      </c>
      <c r="B500" s="43" t="n">
        <v>20033.1406</v>
      </c>
      <c r="C500" s="43" t="n">
        <v>5001.4302</v>
      </c>
      <c r="D500" s="43" t="n">
        <v>36.8459</v>
      </c>
      <c r="E500" s="43" t="n">
        <v>16.5158</v>
      </c>
      <c r="F500" s="44" t="n">
        <v>107</v>
      </c>
      <c r="G500" s="44" t="n">
        <v>741</v>
      </c>
      <c r="H500" s="43" t="n">
        <v>12.8146</v>
      </c>
      <c r="I500" s="43" t="n">
        <v>18.363</v>
      </c>
      <c r="J500" s="44" t="n">
        <v>283</v>
      </c>
      <c r="K50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0" s="46">
        <f>(Dashboard!$C$13*tblHistory[[#This Row],[NDX S]]+Dashboard!$C$14*tblHistory[[#This Row],[SOX S]]+Dashboard!$C$15*tblHistory[[#This Row],[AIQ S]])/(Dashboard!$C$13+Dashboard!$C$14+Dashboard!$C$15)*100</f>
        <v/>
      </c>
      <c r="U500" s="46">
        <f>(Dashboard!$C$16*tblHistory[[#This Row],[DTCR S]]+Dashboard!$C$17*tblHistory[[#This Row],[BBB S]]+Dashboard!$C$18*tblHistory[[#This Row],[CCC S]])/(Dashboard!$C$16+Dashboard!$C$17+Dashboard!$C$18)*100</f>
        <v/>
      </c>
      <c r="V500" s="46">
        <f>(Dashboard!$C$19*tblHistory[[#This Row],[BIZD S]]+Dashboard!$C$20*tblHistory[[#This Row],[BKLN S]]+Dashboard!$C$21*tblHistory[[#This Row],[HY S]])/(Dashboard!$C$19+Dashboard!$C$20+Dashboard!$C$21)*100</f>
        <v/>
      </c>
      <c r="W50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0" s="46">
        <f>IFERROR(--(tblHistory[[#This Row],[Score]]&gt;=50),0)</f>
        <v/>
      </c>
      <c r="Y500" s="46">
        <f>IFERROR(--AND(tblHistory[[#This Row],[Score]]&gt;=60,OR(AND(tblHistory[[#This Row],[BIZD S]]&gt;=0.8,tblHistory[[#This Row],[BKLN S]]&gt;=0.5),tblHistory[[#This Row],[CCC S]]&gt;=0.8)),0)</f>
        <v/>
      </c>
      <c r="Z500" s="46">
        <f>IFERROR(--AND(tblHistory[[#This Row],[Score]]&gt;=70,tblHistory[[#This Row],[SOX S]]&gt;=0.83,tblHistory[[#This Row],[AIQ S]]&gt;=0.8),0)</f>
        <v/>
      </c>
      <c r="AA50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1">
      <c r="A501" s="42" t="n">
        <v>45596</v>
      </c>
      <c r="B501" s="43" t="n">
        <v>19890.4199</v>
      </c>
      <c r="C501" s="43" t="n">
        <v>4946.75</v>
      </c>
      <c r="D501" s="43" t="n">
        <v>36.4867</v>
      </c>
      <c r="E501" s="43" t="n">
        <v>16.6522</v>
      </c>
      <c r="F501" s="44" t="n">
        <v>108</v>
      </c>
      <c r="G501" s="44" t="n">
        <v>756</v>
      </c>
      <c r="H501" s="43" t="n">
        <v>12.9501</v>
      </c>
      <c r="I501" s="43" t="n">
        <v>18.3455</v>
      </c>
      <c r="J501" s="44" t="n">
        <v>288</v>
      </c>
      <c r="K50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1" s="46">
        <f>(Dashboard!$C$13*tblHistory[[#This Row],[NDX S]]+Dashboard!$C$14*tblHistory[[#This Row],[SOX S]]+Dashboard!$C$15*tblHistory[[#This Row],[AIQ S]])/(Dashboard!$C$13+Dashboard!$C$14+Dashboard!$C$15)*100</f>
        <v/>
      </c>
      <c r="U501" s="46">
        <f>(Dashboard!$C$16*tblHistory[[#This Row],[DTCR S]]+Dashboard!$C$17*tblHistory[[#This Row],[BBB S]]+Dashboard!$C$18*tblHistory[[#This Row],[CCC S]])/(Dashboard!$C$16+Dashboard!$C$17+Dashboard!$C$18)*100</f>
        <v/>
      </c>
      <c r="V501" s="46">
        <f>(Dashboard!$C$19*tblHistory[[#This Row],[BIZD S]]+Dashboard!$C$20*tblHistory[[#This Row],[BKLN S]]+Dashboard!$C$21*tblHistory[[#This Row],[HY S]])/(Dashboard!$C$19+Dashboard!$C$20+Dashboard!$C$21)*100</f>
        <v/>
      </c>
      <c r="W50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1" s="46">
        <f>IFERROR(--(tblHistory[[#This Row],[Score]]&gt;=50),0)</f>
        <v/>
      </c>
      <c r="Y501" s="46">
        <f>IFERROR(--AND(tblHistory[[#This Row],[Score]]&gt;=60,OR(AND(tblHistory[[#This Row],[BIZD S]]&gt;=0.8,tblHistory[[#This Row],[BKLN S]]&gt;=0.5),tblHistory[[#This Row],[CCC S]]&gt;=0.8)),0)</f>
        <v/>
      </c>
      <c r="Z501" s="46">
        <f>IFERROR(--AND(tblHistory[[#This Row],[Score]]&gt;=70,tblHistory[[#This Row],[SOX S]]&gt;=0.83,tblHistory[[#This Row],[AIQ S]]&gt;=0.8),0)</f>
        <v/>
      </c>
      <c r="AA50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2">
      <c r="A502" s="42" t="n">
        <v>45595</v>
      </c>
      <c r="B502" s="43" t="n">
        <v>20387.6992</v>
      </c>
      <c r="C502" s="43" t="n">
        <v>5153.4902</v>
      </c>
      <c r="D502" s="43" t="n">
        <v>37.3946</v>
      </c>
      <c r="E502" s="43" t="n">
        <v>16.9835</v>
      </c>
      <c r="F502" s="44" t="n">
        <v>106</v>
      </c>
      <c r="G502" s="44" t="n">
        <v>752</v>
      </c>
      <c r="H502" s="43" t="n">
        <v>13.0059</v>
      </c>
      <c r="I502" s="43" t="n">
        <v>18.3805</v>
      </c>
      <c r="J502" s="44" t="n">
        <v>280</v>
      </c>
      <c r="K50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2" s="46">
        <f>(Dashboard!$C$13*tblHistory[[#This Row],[NDX S]]+Dashboard!$C$14*tblHistory[[#This Row],[SOX S]]+Dashboard!$C$15*tblHistory[[#This Row],[AIQ S]])/(Dashboard!$C$13+Dashboard!$C$14+Dashboard!$C$15)*100</f>
        <v/>
      </c>
      <c r="U502" s="46">
        <f>(Dashboard!$C$16*tblHistory[[#This Row],[DTCR S]]+Dashboard!$C$17*tblHistory[[#This Row],[BBB S]]+Dashboard!$C$18*tblHistory[[#This Row],[CCC S]])/(Dashboard!$C$16+Dashboard!$C$17+Dashboard!$C$18)*100</f>
        <v/>
      </c>
      <c r="V502" s="46">
        <f>(Dashboard!$C$19*tblHistory[[#This Row],[BIZD S]]+Dashboard!$C$20*tblHistory[[#This Row],[BKLN S]]+Dashboard!$C$21*tblHistory[[#This Row],[HY S]])/(Dashboard!$C$19+Dashboard!$C$20+Dashboard!$C$21)*100</f>
        <v/>
      </c>
      <c r="W50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2" s="46">
        <f>IFERROR(--(tblHistory[[#This Row],[Score]]&gt;=50),0)</f>
        <v/>
      </c>
      <c r="Y502" s="46">
        <f>IFERROR(--AND(tblHistory[[#This Row],[Score]]&gt;=60,OR(AND(tblHistory[[#This Row],[BIZD S]]&gt;=0.8,tblHistory[[#This Row],[BKLN S]]&gt;=0.5),tblHistory[[#This Row],[CCC S]]&gt;=0.8)),0)</f>
        <v/>
      </c>
      <c r="Z502" s="46">
        <f>IFERROR(--AND(tblHistory[[#This Row],[Score]]&gt;=70,tblHistory[[#This Row],[SOX S]]&gt;=0.83,tblHistory[[#This Row],[AIQ S]]&gt;=0.8),0)</f>
        <v/>
      </c>
      <c r="AA50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3">
      <c r="A503" s="42" t="n">
        <v>45594</v>
      </c>
      <c r="B503" s="43" t="n">
        <v>20550.6504</v>
      </c>
      <c r="C503" s="43" t="n">
        <v>5332.1699</v>
      </c>
      <c r="D503" s="43" t="n">
        <v>37.7338</v>
      </c>
      <c r="E503" s="43" t="n">
        <v>17.0712</v>
      </c>
      <c r="F503" s="44" t="n">
        <v>106</v>
      </c>
      <c r="G503" s="44" t="n">
        <v>761</v>
      </c>
      <c r="H503" s="43" t="n">
        <v>13.0537</v>
      </c>
      <c r="I503" s="43" t="n">
        <v>18.363</v>
      </c>
      <c r="J503" s="44" t="n">
        <v>285</v>
      </c>
      <c r="K50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3" s="46">
        <f>(Dashboard!$C$13*tblHistory[[#This Row],[NDX S]]+Dashboard!$C$14*tblHistory[[#This Row],[SOX S]]+Dashboard!$C$15*tblHistory[[#This Row],[AIQ S]])/(Dashboard!$C$13+Dashboard!$C$14+Dashboard!$C$15)*100</f>
        <v/>
      </c>
      <c r="U503" s="46">
        <f>(Dashboard!$C$16*tblHistory[[#This Row],[DTCR S]]+Dashboard!$C$17*tblHistory[[#This Row],[BBB S]]+Dashboard!$C$18*tblHistory[[#This Row],[CCC S]])/(Dashboard!$C$16+Dashboard!$C$17+Dashboard!$C$18)*100</f>
        <v/>
      </c>
      <c r="V503" s="46">
        <f>(Dashboard!$C$19*tblHistory[[#This Row],[BIZD S]]+Dashboard!$C$20*tblHistory[[#This Row],[BKLN S]]+Dashboard!$C$21*tblHistory[[#This Row],[HY S]])/(Dashboard!$C$19+Dashboard!$C$20+Dashboard!$C$21)*100</f>
        <v/>
      </c>
      <c r="W50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3" s="46">
        <f>IFERROR(--(tblHistory[[#This Row],[Score]]&gt;=50),0)</f>
        <v/>
      </c>
      <c r="Y503" s="46">
        <f>IFERROR(--AND(tblHistory[[#This Row],[Score]]&gt;=60,OR(AND(tblHistory[[#This Row],[BIZD S]]&gt;=0.8,tblHistory[[#This Row],[BKLN S]]&gt;=0.5),tblHistory[[#This Row],[CCC S]]&gt;=0.8)),0)</f>
        <v/>
      </c>
      <c r="Z503" s="46">
        <f>IFERROR(--AND(tblHistory[[#This Row],[Score]]&gt;=70,tblHistory[[#This Row],[SOX S]]&gt;=0.83,tblHistory[[#This Row],[AIQ S]]&gt;=0.8),0)</f>
        <v/>
      </c>
      <c r="AA50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4">
      <c r="A504" s="42" t="n">
        <v>45593</v>
      </c>
      <c r="B504" s="43" t="n">
        <v>20351.0703</v>
      </c>
      <c r="C504" s="43" t="n">
        <v>5211.6699</v>
      </c>
      <c r="D504" s="43" t="n">
        <v>37.3547</v>
      </c>
      <c r="E504" s="43" t="n">
        <v>17.3148</v>
      </c>
      <c r="F504" s="44" t="n">
        <v>106</v>
      </c>
      <c r="G504" s="44" t="n">
        <v>759</v>
      </c>
      <c r="H504" s="43" t="n">
        <v>13.1971</v>
      </c>
      <c r="I504" s="43" t="n">
        <v>18.3805</v>
      </c>
      <c r="J504" s="44" t="n">
        <v>282</v>
      </c>
      <c r="K50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4" s="46">
        <f>(Dashboard!$C$13*tblHistory[[#This Row],[NDX S]]+Dashboard!$C$14*tblHistory[[#This Row],[SOX S]]+Dashboard!$C$15*tblHistory[[#This Row],[AIQ S]])/(Dashboard!$C$13+Dashboard!$C$14+Dashboard!$C$15)*100</f>
        <v/>
      </c>
      <c r="U504" s="46">
        <f>(Dashboard!$C$16*tblHistory[[#This Row],[DTCR S]]+Dashboard!$C$17*tblHistory[[#This Row],[BBB S]]+Dashboard!$C$18*tblHistory[[#This Row],[CCC S]])/(Dashboard!$C$16+Dashboard!$C$17+Dashboard!$C$18)*100</f>
        <v/>
      </c>
      <c r="V504" s="46">
        <f>(Dashboard!$C$19*tblHistory[[#This Row],[BIZD S]]+Dashboard!$C$20*tblHistory[[#This Row],[BKLN S]]+Dashboard!$C$21*tblHistory[[#This Row],[HY S]])/(Dashboard!$C$19+Dashboard!$C$20+Dashboard!$C$21)*100</f>
        <v/>
      </c>
      <c r="W50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4" s="46">
        <f>IFERROR(--(tblHistory[[#This Row],[Score]]&gt;=50),0)</f>
        <v/>
      </c>
      <c r="Y504" s="46">
        <f>IFERROR(--AND(tblHistory[[#This Row],[Score]]&gt;=60,OR(AND(tblHistory[[#This Row],[BIZD S]]&gt;=0.8,tblHistory[[#This Row],[BKLN S]]&gt;=0.5),tblHistory[[#This Row],[CCC S]]&gt;=0.8)),0)</f>
        <v/>
      </c>
      <c r="Z504" s="46">
        <f>IFERROR(--AND(tblHistory[[#This Row],[Score]]&gt;=70,tblHistory[[#This Row],[SOX S]]&gt;=0.83,tblHistory[[#This Row],[AIQ S]]&gt;=0.8),0)</f>
        <v/>
      </c>
      <c r="AA50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5">
      <c r="A505" s="42" t="n">
        <v>45590</v>
      </c>
      <c r="B505" s="43" t="n">
        <v>20352.0195</v>
      </c>
      <c r="C505" s="43" t="n">
        <v>5212.8301</v>
      </c>
      <c r="D505" s="43" t="n">
        <v>37.2749</v>
      </c>
      <c r="E505" s="43" t="n">
        <v>17.2076</v>
      </c>
      <c r="F505" s="44" t="n">
        <v>107</v>
      </c>
      <c r="G505" s="44" t="n">
        <v>769</v>
      </c>
      <c r="H505" s="43" t="n">
        <v>13.1334</v>
      </c>
      <c r="I505" s="43" t="n">
        <v>18.3718</v>
      </c>
      <c r="J505" s="44" t="n">
        <v>289</v>
      </c>
      <c r="K50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5" s="46">
        <f>(Dashboard!$C$13*tblHistory[[#This Row],[NDX S]]+Dashboard!$C$14*tblHistory[[#This Row],[SOX S]]+Dashboard!$C$15*tblHistory[[#This Row],[AIQ S]])/(Dashboard!$C$13+Dashboard!$C$14+Dashboard!$C$15)*100</f>
        <v/>
      </c>
      <c r="U505" s="46">
        <f>(Dashboard!$C$16*tblHistory[[#This Row],[DTCR S]]+Dashboard!$C$17*tblHistory[[#This Row],[BBB S]]+Dashboard!$C$18*tblHistory[[#This Row],[CCC S]])/(Dashboard!$C$16+Dashboard!$C$17+Dashboard!$C$18)*100</f>
        <v/>
      </c>
      <c r="V505" s="46">
        <f>(Dashboard!$C$19*tblHistory[[#This Row],[BIZD S]]+Dashboard!$C$20*tblHistory[[#This Row],[BKLN S]]+Dashboard!$C$21*tblHistory[[#This Row],[HY S]])/(Dashboard!$C$19+Dashboard!$C$20+Dashboard!$C$21)*100</f>
        <v/>
      </c>
      <c r="W50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5" s="46">
        <f>IFERROR(--(tblHistory[[#This Row],[Score]]&gt;=50),0)</f>
        <v/>
      </c>
      <c r="Y505" s="46">
        <f>IFERROR(--AND(tblHistory[[#This Row],[Score]]&gt;=60,OR(AND(tblHistory[[#This Row],[BIZD S]]&gt;=0.8,tblHistory[[#This Row],[BKLN S]]&gt;=0.5),tblHistory[[#This Row],[CCC S]]&gt;=0.8)),0)</f>
        <v/>
      </c>
      <c r="Z505" s="46">
        <f>IFERROR(--AND(tblHistory[[#This Row],[Score]]&gt;=70,tblHistory[[#This Row],[SOX S]]&gt;=0.83,tblHistory[[#This Row],[AIQ S]]&gt;=0.8),0)</f>
        <v/>
      </c>
      <c r="AA50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6">
      <c r="A506" s="42" t="n">
        <v>45589</v>
      </c>
      <c r="B506" s="43" t="n">
        <v>20232.8691</v>
      </c>
      <c r="C506" s="43" t="n">
        <v>5157.6099</v>
      </c>
      <c r="D506" s="43" t="n">
        <v>37.225</v>
      </c>
      <c r="E506" s="43" t="n">
        <v>17.0323</v>
      </c>
      <c r="F506" s="44" t="n">
        <v>108</v>
      </c>
      <c r="G506" s="44" t="n">
        <v>769</v>
      </c>
      <c r="H506" s="43" t="n">
        <v>13.1653</v>
      </c>
      <c r="I506" s="43" t="n">
        <v>18.363</v>
      </c>
      <c r="J506" s="44" t="n">
        <v>293</v>
      </c>
      <c r="K50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6" s="46">
        <f>(Dashboard!$C$13*tblHistory[[#This Row],[NDX S]]+Dashboard!$C$14*tblHistory[[#This Row],[SOX S]]+Dashboard!$C$15*tblHistory[[#This Row],[AIQ S]])/(Dashboard!$C$13+Dashboard!$C$14+Dashboard!$C$15)*100</f>
        <v/>
      </c>
      <c r="U506" s="46">
        <f>(Dashboard!$C$16*tblHistory[[#This Row],[DTCR S]]+Dashboard!$C$17*tblHistory[[#This Row],[BBB S]]+Dashboard!$C$18*tblHistory[[#This Row],[CCC S]])/(Dashboard!$C$16+Dashboard!$C$17+Dashboard!$C$18)*100</f>
        <v/>
      </c>
      <c r="V506" s="46">
        <f>(Dashboard!$C$19*tblHistory[[#This Row],[BIZD S]]+Dashboard!$C$20*tblHistory[[#This Row],[BKLN S]]+Dashboard!$C$21*tblHistory[[#This Row],[HY S]])/(Dashboard!$C$19+Dashboard!$C$20+Dashboard!$C$21)*100</f>
        <v/>
      </c>
      <c r="W50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6" s="46">
        <f>IFERROR(--(tblHistory[[#This Row],[Score]]&gt;=50),0)</f>
        <v/>
      </c>
      <c r="Y506" s="46">
        <f>IFERROR(--AND(tblHistory[[#This Row],[Score]]&gt;=60,OR(AND(tblHistory[[#This Row],[BIZD S]]&gt;=0.8,tblHistory[[#This Row],[BKLN S]]&gt;=0.5),tblHistory[[#This Row],[CCC S]]&gt;=0.8)),0)</f>
        <v/>
      </c>
      <c r="Z506" s="46">
        <f>IFERROR(--AND(tblHistory[[#This Row],[Score]]&gt;=70,tblHistory[[#This Row],[SOX S]]&gt;=0.83,tblHistory[[#This Row],[AIQ S]]&gt;=0.8),0)</f>
        <v/>
      </c>
      <c r="AA50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7">
      <c r="A507" s="42" t="n">
        <v>45588</v>
      </c>
      <c r="B507" s="43" t="n">
        <v>20066.9609</v>
      </c>
      <c r="C507" s="43" t="n">
        <v>5131.3701</v>
      </c>
      <c r="D507" s="43" t="n">
        <v>36.9257</v>
      </c>
      <c r="E507" s="43" t="n">
        <v>17.1297</v>
      </c>
      <c r="F507" s="44" t="n">
        <v>108</v>
      </c>
      <c r="G507" s="44" t="n">
        <v>771</v>
      </c>
      <c r="H507" s="43" t="n">
        <v>13.0776</v>
      </c>
      <c r="I507" s="43" t="n">
        <v>18.3543</v>
      </c>
      <c r="J507" s="44" t="n">
        <v>295</v>
      </c>
      <c r="K50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7" s="46">
        <f>(Dashboard!$C$13*tblHistory[[#This Row],[NDX S]]+Dashboard!$C$14*tblHistory[[#This Row],[SOX S]]+Dashboard!$C$15*tblHistory[[#This Row],[AIQ S]])/(Dashboard!$C$13+Dashboard!$C$14+Dashboard!$C$15)*100</f>
        <v/>
      </c>
      <c r="U507" s="46">
        <f>(Dashboard!$C$16*tblHistory[[#This Row],[DTCR S]]+Dashboard!$C$17*tblHistory[[#This Row],[BBB S]]+Dashboard!$C$18*tblHistory[[#This Row],[CCC S]])/(Dashboard!$C$16+Dashboard!$C$17+Dashboard!$C$18)*100</f>
        <v/>
      </c>
      <c r="V507" s="46">
        <f>(Dashboard!$C$19*tblHistory[[#This Row],[BIZD S]]+Dashboard!$C$20*tblHistory[[#This Row],[BKLN S]]+Dashboard!$C$21*tblHistory[[#This Row],[HY S]])/(Dashboard!$C$19+Dashboard!$C$20+Dashboard!$C$21)*100</f>
        <v/>
      </c>
      <c r="W50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7" s="46">
        <f>IFERROR(--(tblHistory[[#This Row],[Score]]&gt;=50),0)</f>
        <v/>
      </c>
      <c r="Y507" s="46">
        <f>IFERROR(--AND(tblHistory[[#This Row],[Score]]&gt;=60,OR(AND(tblHistory[[#This Row],[BIZD S]]&gt;=0.8,tblHistory[[#This Row],[BKLN S]]&gt;=0.5),tblHistory[[#This Row],[CCC S]]&gt;=0.8)),0)</f>
        <v/>
      </c>
      <c r="Z507" s="46">
        <f>IFERROR(--AND(tblHistory[[#This Row],[Score]]&gt;=70,tblHistory[[#This Row],[SOX S]]&gt;=0.83,tblHistory[[#This Row],[AIQ S]]&gt;=0.8),0)</f>
        <v/>
      </c>
      <c r="AA50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8">
      <c r="A508" s="42" t="n">
        <v>45587</v>
      </c>
      <c r="B508" s="43" t="n">
        <v>20390.4609</v>
      </c>
      <c r="C508" s="43" t="n">
        <v>5190.71</v>
      </c>
      <c r="D508" s="43" t="n">
        <v>37.4545</v>
      </c>
      <c r="E508" s="43" t="n">
        <v>17.1882</v>
      </c>
      <c r="F508" s="44" t="n">
        <v>107</v>
      </c>
      <c r="G508" s="44" t="n">
        <v>769</v>
      </c>
      <c r="H508" s="43" t="n">
        <v>13.1334</v>
      </c>
      <c r="I508" s="43" t="n">
        <v>18.3718</v>
      </c>
      <c r="J508" s="44" t="n">
        <v>292</v>
      </c>
      <c r="K50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8" s="46">
        <f>(Dashboard!$C$13*tblHistory[[#This Row],[NDX S]]+Dashboard!$C$14*tblHistory[[#This Row],[SOX S]]+Dashboard!$C$15*tblHistory[[#This Row],[AIQ S]])/(Dashboard!$C$13+Dashboard!$C$14+Dashboard!$C$15)*100</f>
        <v/>
      </c>
      <c r="U508" s="46">
        <f>(Dashboard!$C$16*tblHistory[[#This Row],[DTCR S]]+Dashboard!$C$17*tblHistory[[#This Row],[BBB S]]+Dashboard!$C$18*tblHistory[[#This Row],[CCC S]])/(Dashboard!$C$16+Dashboard!$C$17+Dashboard!$C$18)*100</f>
        <v/>
      </c>
      <c r="V508" s="46">
        <f>(Dashboard!$C$19*tblHistory[[#This Row],[BIZD S]]+Dashboard!$C$20*tblHistory[[#This Row],[BKLN S]]+Dashboard!$C$21*tblHistory[[#This Row],[HY S]])/(Dashboard!$C$19+Dashboard!$C$20+Dashboard!$C$21)*100</f>
        <v/>
      </c>
      <c r="W50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8" s="46">
        <f>IFERROR(--(tblHistory[[#This Row],[Score]]&gt;=50),0)</f>
        <v/>
      </c>
      <c r="Y508" s="46">
        <f>IFERROR(--AND(tblHistory[[#This Row],[Score]]&gt;=60,OR(AND(tblHistory[[#This Row],[BIZD S]]&gt;=0.8,tblHistory[[#This Row],[BKLN S]]&gt;=0.5),tblHistory[[#This Row],[CCC S]]&gt;=0.8)),0)</f>
        <v/>
      </c>
      <c r="Z508" s="46">
        <f>IFERROR(--AND(tblHistory[[#This Row],[Score]]&gt;=70,tblHistory[[#This Row],[SOX S]]&gt;=0.83,tblHistory[[#This Row],[AIQ S]]&gt;=0.8),0)</f>
        <v/>
      </c>
      <c r="AA50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09">
      <c r="A509" s="42" t="n">
        <v>45586</v>
      </c>
      <c r="B509" s="43" t="n">
        <v>20361.4707</v>
      </c>
      <c r="C509" s="43" t="n">
        <v>5215.21</v>
      </c>
      <c r="D509" s="43" t="n">
        <v>37.5642</v>
      </c>
      <c r="E509" s="43" t="n">
        <v>17.1394</v>
      </c>
      <c r="F509" s="44" t="n">
        <v>107</v>
      </c>
      <c r="G509" s="44" t="n">
        <v>767</v>
      </c>
      <c r="H509" s="43" t="n">
        <v>13.237</v>
      </c>
      <c r="I509" s="43" t="n">
        <v>18.3718</v>
      </c>
      <c r="J509" s="44" t="n">
        <v>288</v>
      </c>
      <c r="K50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0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0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0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0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0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0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0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0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09" s="46">
        <f>(Dashboard!$C$13*tblHistory[[#This Row],[NDX S]]+Dashboard!$C$14*tblHistory[[#This Row],[SOX S]]+Dashboard!$C$15*tblHistory[[#This Row],[AIQ S]])/(Dashboard!$C$13+Dashboard!$C$14+Dashboard!$C$15)*100</f>
        <v/>
      </c>
      <c r="U509" s="46">
        <f>(Dashboard!$C$16*tblHistory[[#This Row],[DTCR S]]+Dashboard!$C$17*tblHistory[[#This Row],[BBB S]]+Dashboard!$C$18*tblHistory[[#This Row],[CCC S]])/(Dashboard!$C$16+Dashboard!$C$17+Dashboard!$C$18)*100</f>
        <v/>
      </c>
      <c r="V509" s="46">
        <f>(Dashboard!$C$19*tblHistory[[#This Row],[BIZD S]]+Dashboard!$C$20*tblHistory[[#This Row],[BKLN S]]+Dashboard!$C$21*tblHistory[[#This Row],[HY S]])/(Dashboard!$C$19+Dashboard!$C$20+Dashboard!$C$21)*100</f>
        <v/>
      </c>
      <c r="W50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09" s="46">
        <f>IFERROR(--(tblHistory[[#This Row],[Score]]&gt;=50),0)</f>
        <v/>
      </c>
      <c r="Y509" s="46">
        <f>IFERROR(--AND(tblHistory[[#This Row],[Score]]&gt;=60,OR(AND(tblHistory[[#This Row],[BIZD S]]&gt;=0.8,tblHistory[[#This Row],[BKLN S]]&gt;=0.5),tblHistory[[#This Row],[CCC S]]&gt;=0.8)),0)</f>
        <v/>
      </c>
      <c r="Z509" s="46">
        <f>IFERROR(--AND(tblHistory[[#This Row],[Score]]&gt;=70,tblHistory[[#This Row],[SOX S]]&gt;=0.83,tblHistory[[#This Row],[AIQ S]]&gt;=0.8),0)</f>
        <v/>
      </c>
      <c r="AA50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0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0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0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0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0">
      <c r="A510" s="42" t="n">
        <v>45583</v>
      </c>
      <c r="B510" s="43" t="n">
        <v>20324.0391</v>
      </c>
      <c r="C510" s="43" t="n">
        <v>5208.6201</v>
      </c>
      <c r="D510" s="43" t="n">
        <v>37.6839</v>
      </c>
      <c r="E510" s="43" t="n">
        <v>17.1784</v>
      </c>
      <c r="F510" s="44" t="n">
        <v>105</v>
      </c>
      <c r="G510" s="44" t="n">
        <v>766</v>
      </c>
      <c r="H510" s="43" t="n">
        <v>13.1653</v>
      </c>
      <c r="I510" s="43" t="n">
        <v>18.3499</v>
      </c>
      <c r="J510" s="44" t="n">
        <v>288</v>
      </c>
      <c r="K51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0" s="46">
        <f>(Dashboard!$C$13*tblHistory[[#This Row],[NDX S]]+Dashboard!$C$14*tblHistory[[#This Row],[SOX S]]+Dashboard!$C$15*tblHistory[[#This Row],[AIQ S]])/(Dashboard!$C$13+Dashboard!$C$14+Dashboard!$C$15)*100</f>
        <v/>
      </c>
      <c r="U510" s="46">
        <f>(Dashboard!$C$16*tblHistory[[#This Row],[DTCR S]]+Dashboard!$C$17*tblHistory[[#This Row],[BBB S]]+Dashboard!$C$18*tblHistory[[#This Row],[CCC S]])/(Dashboard!$C$16+Dashboard!$C$17+Dashboard!$C$18)*100</f>
        <v/>
      </c>
      <c r="V510" s="46">
        <f>(Dashboard!$C$19*tblHistory[[#This Row],[BIZD S]]+Dashboard!$C$20*tblHistory[[#This Row],[BKLN S]]+Dashboard!$C$21*tblHistory[[#This Row],[HY S]])/(Dashboard!$C$19+Dashboard!$C$20+Dashboard!$C$21)*100</f>
        <v/>
      </c>
      <c r="W51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0" s="46">
        <f>IFERROR(--(tblHistory[[#This Row],[Score]]&gt;=50),0)</f>
        <v/>
      </c>
      <c r="Y510" s="46">
        <f>IFERROR(--AND(tblHistory[[#This Row],[Score]]&gt;=60,OR(AND(tblHistory[[#This Row],[BIZD S]]&gt;=0.8,tblHistory[[#This Row],[BKLN S]]&gt;=0.5),tblHistory[[#This Row],[CCC S]]&gt;=0.8)),0)</f>
        <v/>
      </c>
      <c r="Z510" s="46">
        <f>IFERROR(--AND(tblHistory[[#This Row],[Score]]&gt;=70,tblHistory[[#This Row],[SOX S]]&gt;=0.83,tblHistory[[#This Row],[AIQ S]]&gt;=0.8),0)</f>
        <v/>
      </c>
      <c r="AA51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1">
      <c r="A511" s="42" t="n">
        <v>45582</v>
      </c>
      <c r="B511" s="43" t="n">
        <v>20190.4199</v>
      </c>
      <c r="C511" s="43" t="n">
        <v>5204.8101</v>
      </c>
      <c r="D511" s="43" t="n">
        <v>37.3746</v>
      </c>
      <c r="E511" s="43" t="n">
        <v>17.081</v>
      </c>
      <c r="F511" s="44" t="n">
        <v>104</v>
      </c>
      <c r="G511" s="44" t="n">
        <v>769</v>
      </c>
      <c r="H511" s="43" t="n">
        <v>13.1174</v>
      </c>
      <c r="I511" s="43" t="n">
        <v>18.3499</v>
      </c>
      <c r="J511" s="44" t="n">
        <v>289</v>
      </c>
      <c r="K51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1" s="46">
        <f>(Dashboard!$C$13*tblHistory[[#This Row],[NDX S]]+Dashboard!$C$14*tblHistory[[#This Row],[SOX S]]+Dashboard!$C$15*tblHistory[[#This Row],[AIQ S]])/(Dashboard!$C$13+Dashboard!$C$14+Dashboard!$C$15)*100</f>
        <v/>
      </c>
      <c r="U511" s="46">
        <f>(Dashboard!$C$16*tblHistory[[#This Row],[DTCR S]]+Dashboard!$C$17*tblHistory[[#This Row],[BBB S]]+Dashboard!$C$18*tblHistory[[#This Row],[CCC S]])/(Dashboard!$C$16+Dashboard!$C$17+Dashboard!$C$18)*100</f>
        <v/>
      </c>
      <c r="V511" s="46">
        <f>(Dashboard!$C$19*tblHistory[[#This Row],[BIZD S]]+Dashboard!$C$20*tblHistory[[#This Row],[BKLN S]]+Dashboard!$C$21*tblHistory[[#This Row],[HY S]])/(Dashboard!$C$19+Dashboard!$C$20+Dashboard!$C$21)*100</f>
        <v/>
      </c>
      <c r="W51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1" s="46">
        <f>IFERROR(--(tblHistory[[#This Row],[Score]]&gt;=50),0)</f>
        <v/>
      </c>
      <c r="Y511" s="46">
        <f>IFERROR(--AND(tblHistory[[#This Row],[Score]]&gt;=60,OR(AND(tblHistory[[#This Row],[BIZD S]]&gt;=0.8,tblHistory[[#This Row],[BKLN S]]&gt;=0.5),tblHistory[[#This Row],[CCC S]]&gt;=0.8)),0)</f>
        <v/>
      </c>
      <c r="Z511" s="46">
        <f>IFERROR(--AND(tblHistory[[#This Row],[Score]]&gt;=70,tblHistory[[#This Row],[SOX S]]&gt;=0.83,tblHistory[[#This Row],[AIQ S]]&gt;=0.8),0)</f>
        <v/>
      </c>
      <c r="AA51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2">
      <c r="A512" s="42" t="n">
        <v>45581</v>
      </c>
      <c r="B512" s="43" t="n">
        <v>20174.0508</v>
      </c>
      <c r="C512" s="43" t="n">
        <v>5155.8599</v>
      </c>
      <c r="D512" s="43" t="n">
        <v>37.4545</v>
      </c>
      <c r="E512" s="43" t="n">
        <v>17.2369</v>
      </c>
      <c r="F512" s="44" t="n">
        <v>105</v>
      </c>
      <c r="G512" s="44" t="n">
        <v>775</v>
      </c>
      <c r="H512" s="43" t="n">
        <v>13.1254</v>
      </c>
      <c r="I512" s="43" t="n">
        <v>18.3412</v>
      </c>
      <c r="J512" s="44" t="n">
        <v>290</v>
      </c>
      <c r="K51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2" s="46">
        <f>(Dashboard!$C$13*tblHistory[[#This Row],[NDX S]]+Dashboard!$C$14*tblHistory[[#This Row],[SOX S]]+Dashboard!$C$15*tblHistory[[#This Row],[AIQ S]])/(Dashboard!$C$13+Dashboard!$C$14+Dashboard!$C$15)*100</f>
        <v/>
      </c>
      <c r="U512" s="46">
        <f>(Dashboard!$C$16*tblHistory[[#This Row],[DTCR S]]+Dashboard!$C$17*tblHistory[[#This Row],[BBB S]]+Dashboard!$C$18*tblHistory[[#This Row],[CCC S]])/(Dashboard!$C$16+Dashboard!$C$17+Dashboard!$C$18)*100</f>
        <v/>
      </c>
      <c r="V512" s="46">
        <f>(Dashboard!$C$19*tblHistory[[#This Row],[BIZD S]]+Dashboard!$C$20*tblHistory[[#This Row],[BKLN S]]+Dashboard!$C$21*tblHistory[[#This Row],[HY S]])/(Dashboard!$C$19+Dashboard!$C$20+Dashboard!$C$21)*100</f>
        <v/>
      </c>
      <c r="W51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2" s="46">
        <f>IFERROR(--(tblHistory[[#This Row],[Score]]&gt;=50),0)</f>
        <v/>
      </c>
      <c r="Y512" s="46">
        <f>IFERROR(--AND(tblHistory[[#This Row],[Score]]&gt;=60,OR(AND(tblHistory[[#This Row],[BIZD S]]&gt;=0.8,tblHistory[[#This Row],[BKLN S]]&gt;=0.5),tblHistory[[#This Row],[CCC S]]&gt;=0.8)),0)</f>
        <v/>
      </c>
      <c r="Z512" s="46">
        <f>IFERROR(--AND(tblHistory[[#This Row],[Score]]&gt;=70,tblHistory[[#This Row],[SOX S]]&gt;=0.83,tblHistory[[#This Row],[AIQ S]]&gt;=0.8),0)</f>
        <v/>
      </c>
      <c r="AA51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3">
      <c r="A513" s="42" t="n">
        <v>45580</v>
      </c>
      <c r="B513" s="43" t="n">
        <v>20159.8301</v>
      </c>
      <c r="C513" s="43" t="n">
        <v>5145.21</v>
      </c>
      <c r="D513" s="43" t="n">
        <v>37.3347</v>
      </c>
      <c r="E513" s="43" t="n">
        <v>16.9933</v>
      </c>
      <c r="F513" s="44" t="n">
        <v>105</v>
      </c>
      <c r="G513" s="44" t="n">
        <v>780</v>
      </c>
      <c r="H513" s="43" t="n">
        <v>12.9899</v>
      </c>
      <c r="I513" s="43" t="n">
        <v>18.3499</v>
      </c>
      <c r="J513" s="44" t="n">
        <v>293</v>
      </c>
      <c r="K51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3" s="46">
        <f>(Dashboard!$C$13*tblHistory[[#This Row],[NDX S]]+Dashboard!$C$14*tblHistory[[#This Row],[SOX S]]+Dashboard!$C$15*tblHistory[[#This Row],[AIQ S]])/(Dashboard!$C$13+Dashboard!$C$14+Dashboard!$C$15)*100</f>
        <v/>
      </c>
      <c r="U513" s="46">
        <f>(Dashboard!$C$16*tblHistory[[#This Row],[DTCR S]]+Dashboard!$C$17*tblHistory[[#This Row],[BBB S]]+Dashboard!$C$18*tblHistory[[#This Row],[CCC S]])/(Dashboard!$C$16+Dashboard!$C$17+Dashboard!$C$18)*100</f>
        <v/>
      </c>
      <c r="V513" s="46">
        <f>(Dashboard!$C$19*tblHistory[[#This Row],[BIZD S]]+Dashboard!$C$20*tblHistory[[#This Row],[BKLN S]]+Dashboard!$C$21*tblHistory[[#This Row],[HY S]])/(Dashboard!$C$19+Dashboard!$C$20+Dashboard!$C$21)*100</f>
        <v/>
      </c>
      <c r="W51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3" s="46">
        <f>IFERROR(--(tblHistory[[#This Row],[Score]]&gt;=50),0)</f>
        <v/>
      </c>
      <c r="Y513" s="46">
        <f>IFERROR(--AND(tblHistory[[#This Row],[Score]]&gt;=60,OR(AND(tblHistory[[#This Row],[BIZD S]]&gt;=0.8,tblHistory[[#This Row],[BKLN S]]&gt;=0.5),tblHistory[[#This Row],[CCC S]]&gt;=0.8)),0)</f>
        <v/>
      </c>
      <c r="Z513" s="46">
        <f>IFERROR(--AND(tblHistory[[#This Row],[Score]]&gt;=70,tblHistory[[#This Row],[SOX S]]&gt;=0.83,tblHistory[[#This Row],[AIQ S]]&gt;=0.8),0)</f>
        <v/>
      </c>
      <c r="AA51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4">
      <c r="A514" s="42" t="n">
        <v>45579</v>
      </c>
      <c r="B514" s="43" t="n">
        <v>20439.0508</v>
      </c>
      <c r="C514" s="43" t="n">
        <v>5432.21</v>
      </c>
      <c r="D514" s="43" t="n">
        <v>38.0032</v>
      </c>
      <c r="E514" s="43" t="n">
        <v>17.1005</v>
      </c>
      <c r="F514" s="44" t="n">
        <v>106</v>
      </c>
      <c r="G514" s="44" t="n">
        <v>785</v>
      </c>
      <c r="H514" s="43" t="n">
        <v>12.966</v>
      </c>
      <c r="I514" s="43" t="n">
        <v>18.3326</v>
      </c>
      <c r="J514" s="44" t="n">
        <v>297</v>
      </c>
      <c r="K51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4" s="46">
        <f>(Dashboard!$C$13*tblHistory[[#This Row],[NDX S]]+Dashboard!$C$14*tblHistory[[#This Row],[SOX S]]+Dashboard!$C$15*tblHistory[[#This Row],[AIQ S]])/(Dashboard!$C$13+Dashboard!$C$14+Dashboard!$C$15)*100</f>
        <v/>
      </c>
      <c r="U514" s="46">
        <f>(Dashboard!$C$16*tblHistory[[#This Row],[DTCR S]]+Dashboard!$C$17*tblHistory[[#This Row],[BBB S]]+Dashboard!$C$18*tblHistory[[#This Row],[CCC S]])/(Dashboard!$C$16+Dashboard!$C$17+Dashboard!$C$18)*100</f>
        <v/>
      </c>
      <c r="V514" s="46">
        <f>(Dashboard!$C$19*tblHistory[[#This Row],[BIZD S]]+Dashboard!$C$20*tblHistory[[#This Row],[BKLN S]]+Dashboard!$C$21*tblHistory[[#This Row],[HY S]])/(Dashboard!$C$19+Dashboard!$C$20+Dashboard!$C$21)*100</f>
        <v/>
      </c>
      <c r="W51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4" s="46">
        <f>IFERROR(--(tblHistory[[#This Row],[Score]]&gt;=50),0)</f>
        <v/>
      </c>
      <c r="Y514" s="46">
        <f>IFERROR(--AND(tblHistory[[#This Row],[Score]]&gt;=60,OR(AND(tblHistory[[#This Row],[BIZD S]]&gt;=0.8,tblHistory[[#This Row],[BKLN S]]&gt;=0.5),tblHistory[[#This Row],[CCC S]]&gt;=0.8)),0)</f>
        <v/>
      </c>
      <c r="Z514" s="46">
        <f>IFERROR(--AND(tblHistory[[#This Row],[Score]]&gt;=70,tblHistory[[#This Row],[SOX S]]&gt;=0.83,tblHistory[[#This Row],[AIQ S]]&gt;=0.8),0)</f>
        <v/>
      </c>
      <c r="AA51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5">
      <c r="A515" s="42" t="n">
        <v>45576</v>
      </c>
      <c r="B515" s="43" t="n">
        <v>20271.9707</v>
      </c>
      <c r="C515" s="43" t="n">
        <v>5335.9399</v>
      </c>
      <c r="D515" s="43" t="n">
        <v>37.8835</v>
      </c>
      <c r="E515" s="43" t="n">
        <v>17.003</v>
      </c>
      <c r="F515" s="44" t="n">
        <v>106</v>
      </c>
      <c r="G515" s="44" t="n">
        <v>788</v>
      </c>
      <c r="H515" s="43" t="n">
        <v>12.9182</v>
      </c>
      <c r="I515" s="43" t="n">
        <v>18.3239</v>
      </c>
      <c r="J515" s="44" t="n">
        <v>298</v>
      </c>
      <c r="K51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5" s="46">
        <f>(Dashboard!$C$13*tblHistory[[#This Row],[NDX S]]+Dashboard!$C$14*tblHistory[[#This Row],[SOX S]]+Dashboard!$C$15*tblHistory[[#This Row],[AIQ S]])/(Dashboard!$C$13+Dashboard!$C$14+Dashboard!$C$15)*100</f>
        <v/>
      </c>
      <c r="U515" s="46">
        <f>(Dashboard!$C$16*tblHistory[[#This Row],[DTCR S]]+Dashboard!$C$17*tblHistory[[#This Row],[BBB S]]+Dashboard!$C$18*tblHistory[[#This Row],[CCC S]])/(Dashboard!$C$16+Dashboard!$C$17+Dashboard!$C$18)*100</f>
        <v/>
      </c>
      <c r="V515" s="46">
        <f>(Dashboard!$C$19*tblHistory[[#This Row],[BIZD S]]+Dashboard!$C$20*tblHistory[[#This Row],[BKLN S]]+Dashboard!$C$21*tblHistory[[#This Row],[HY S]])/(Dashboard!$C$19+Dashboard!$C$20+Dashboard!$C$21)*100</f>
        <v/>
      </c>
      <c r="W51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5" s="46">
        <f>IFERROR(--(tblHistory[[#This Row],[Score]]&gt;=50),0)</f>
        <v/>
      </c>
      <c r="Y515" s="46">
        <f>IFERROR(--AND(tblHistory[[#This Row],[Score]]&gt;=60,OR(AND(tblHistory[[#This Row],[BIZD S]]&gt;=0.8,tblHistory[[#This Row],[BKLN S]]&gt;=0.5),tblHistory[[#This Row],[CCC S]]&gt;=0.8)),0)</f>
        <v/>
      </c>
      <c r="Z515" s="46">
        <f>IFERROR(--AND(tblHistory[[#This Row],[Score]]&gt;=70,tblHistory[[#This Row],[SOX S]]&gt;=0.83,tblHistory[[#This Row],[AIQ S]]&gt;=0.8),0)</f>
        <v/>
      </c>
      <c r="AA51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6">
      <c r="A516" s="42" t="n">
        <v>45575</v>
      </c>
      <c r="B516" s="43" t="n">
        <v>20241.7598</v>
      </c>
      <c r="C516" s="43" t="n">
        <v>5293.9399</v>
      </c>
      <c r="D516" s="43" t="n">
        <v>37.6939</v>
      </c>
      <c r="E516" s="43" t="n">
        <v>16.8276</v>
      </c>
      <c r="F516" s="44" t="n">
        <v>107</v>
      </c>
      <c r="G516" s="44" t="n">
        <v>790</v>
      </c>
      <c r="H516" s="43" t="n">
        <v>12.9023</v>
      </c>
      <c r="I516" s="43" t="n">
        <v>18.3066</v>
      </c>
      <c r="J516" s="44" t="n">
        <v>299</v>
      </c>
      <c r="K51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6" s="46">
        <f>(Dashboard!$C$13*tblHistory[[#This Row],[NDX S]]+Dashboard!$C$14*tblHistory[[#This Row],[SOX S]]+Dashboard!$C$15*tblHistory[[#This Row],[AIQ S]])/(Dashboard!$C$13+Dashboard!$C$14+Dashboard!$C$15)*100</f>
        <v/>
      </c>
      <c r="U516" s="46">
        <f>(Dashboard!$C$16*tblHistory[[#This Row],[DTCR S]]+Dashboard!$C$17*tblHistory[[#This Row],[BBB S]]+Dashboard!$C$18*tblHistory[[#This Row],[CCC S]])/(Dashboard!$C$16+Dashboard!$C$17+Dashboard!$C$18)*100</f>
        <v/>
      </c>
      <c r="V516" s="46">
        <f>(Dashboard!$C$19*tblHistory[[#This Row],[BIZD S]]+Dashboard!$C$20*tblHistory[[#This Row],[BKLN S]]+Dashboard!$C$21*tblHistory[[#This Row],[HY S]])/(Dashboard!$C$19+Dashboard!$C$20+Dashboard!$C$21)*100</f>
        <v/>
      </c>
      <c r="W51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6" s="46">
        <f>IFERROR(--(tblHistory[[#This Row],[Score]]&gt;=50),0)</f>
        <v/>
      </c>
      <c r="Y516" s="46">
        <f>IFERROR(--AND(tblHistory[[#This Row],[Score]]&gt;=60,OR(AND(tblHistory[[#This Row],[BIZD S]]&gt;=0.8,tblHistory[[#This Row],[BKLN S]]&gt;=0.5),tblHistory[[#This Row],[CCC S]]&gt;=0.8)),0)</f>
        <v/>
      </c>
      <c r="Z516" s="46">
        <f>IFERROR(--AND(tblHistory[[#This Row],[Score]]&gt;=70,tblHistory[[#This Row],[SOX S]]&gt;=0.83,tblHistory[[#This Row],[AIQ S]]&gt;=0.8),0)</f>
        <v/>
      </c>
      <c r="AA51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7">
      <c r="A517" s="42" t="n">
        <v>45574</v>
      </c>
      <c r="B517" s="43" t="n">
        <v>20268.8594</v>
      </c>
      <c r="C517" s="43" t="n">
        <v>5321.8999</v>
      </c>
      <c r="D517" s="43" t="n">
        <v>37.644</v>
      </c>
      <c r="E517" s="43" t="n">
        <v>16.8861</v>
      </c>
      <c r="F517" s="44" t="n">
        <v>108</v>
      </c>
      <c r="G517" s="44" t="n">
        <v>787</v>
      </c>
      <c r="H517" s="43" t="n">
        <v>12.8465</v>
      </c>
      <c r="I517" s="43" t="n">
        <v>18.2892</v>
      </c>
      <c r="J517" s="44" t="n">
        <v>294</v>
      </c>
      <c r="K51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7" s="46">
        <f>(Dashboard!$C$13*tblHistory[[#This Row],[NDX S]]+Dashboard!$C$14*tblHistory[[#This Row],[SOX S]]+Dashboard!$C$15*tblHistory[[#This Row],[AIQ S]])/(Dashboard!$C$13+Dashboard!$C$14+Dashboard!$C$15)*100</f>
        <v/>
      </c>
      <c r="U517" s="46">
        <f>(Dashboard!$C$16*tblHistory[[#This Row],[DTCR S]]+Dashboard!$C$17*tblHistory[[#This Row],[BBB S]]+Dashboard!$C$18*tblHistory[[#This Row],[CCC S]])/(Dashboard!$C$16+Dashboard!$C$17+Dashboard!$C$18)*100</f>
        <v/>
      </c>
      <c r="V517" s="46">
        <f>(Dashboard!$C$19*tblHistory[[#This Row],[BIZD S]]+Dashboard!$C$20*tblHistory[[#This Row],[BKLN S]]+Dashboard!$C$21*tblHistory[[#This Row],[HY S]])/(Dashboard!$C$19+Dashboard!$C$20+Dashboard!$C$21)*100</f>
        <v/>
      </c>
      <c r="W51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7" s="46">
        <f>IFERROR(--(tblHistory[[#This Row],[Score]]&gt;=50),0)</f>
        <v/>
      </c>
      <c r="Y517" s="46">
        <f>IFERROR(--AND(tblHistory[[#This Row],[Score]]&gt;=60,OR(AND(tblHistory[[#This Row],[BIZD S]]&gt;=0.8,tblHistory[[#This Row],[BKLN S]]&gt;=0.5),tblHistory[[#This Row],[CCC S]]&gt;=0.8)),0)</f>
        <v/>
      </c>
      <c r="Z517" s="46">
        <f>IFERROR(--AND(tblHistory[[#This Row],[Score]]&gt;=70,tblHistory[[#This Row],[SOX S]]&gt;=0.83,tblHistory[[#This Row],[AIQ S]]&gt;=0.8),0)</f>
        <v/>
      </c>
      <c r="AA51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8">
      <c r="A518" s="42" t="n">
        <v>45573</v>
      </c>
      <c r="B518" s="43" t="n">
        <v>20107.7793</v>
      </c>
      <c r="C518" s="43" t="n">
        <v>5266.1001</v>
      </c>
      <c r="D518" s="43" t="n">
        <v>37.3647</v>
      </c>
      <c r="E518" s="43" t="n">
        <v>16.8374</v>
      </c>
      <c r="F518" s="44" t="n">
        <v>109</v>
      </c>
      <c r="G518" s="44" t="n">
        <v>792</v>
      </c>
      <c r="H518" s="43" t="n">
        <v>12.8624</v>
      </c>
      <c r="I518" s="43" t="n">
        <v>18.2632</v>
      </c>
      <c r="J518" s="44" t="n">
        <v>299</v>
      </c>
      <c r="K51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8" s="46">
        <f>(Dashboard!$C$13*tblHistory[[#This Row],[NDX S]]+Dashboard!$C$14*tblHistory[[#This Row],[SOX S]]+Dashboard!$C$15*tblHistory[[#This Row],[AIQ S]])/(Dashboard!$C$13+Dashboard!$C$14+Dashboard!$C$15)*100</f>
        <v/>
      </c>
      <c r="U518" s="46">
        <f>(Dashboard!$C$16*tblHistory[[#This Row],[DTCR S]]+Dashboard!$C$17*tblHistory[[#This Row],[BBB S]]+Dashboard!$C$18*tblHistory[[#This Row],[CCC S]])/(Dashboard!$C$16+Dashboard!$C$17+Dashboard!$C$18)*100</f>
        <v/>
      </c>
      <c r="V518" s="46">
        <f>(Dashboard!$C$19*tblHistory[[#This Row],[BIZD S]]+Dashboard!$C$20*tblHistory[[#This Row],[BKLN S]]+Dashboard!$C$21*tblHistory[[#This Row],[HY S]])/(Dashboard!$C$19+Dashboard!$C$20+Dashboard!$C$21)*100</f>
        <v/>
      </c>
      <c r="W51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8" s="46">
        <f>IFERROR(--(tblHistory[[#This Row],[Score]]&gt;=50),0)</f>
        <v/>
      </c>
      <c r="Y518" s="46">
        <f>IFERROR(--AND(tblHistory[[#This Row],[Score]]&gt;=60,OR(AND(tblHistory[[#This Row],[BIZD S]]&gt;=0.8,tblHistory[[#This Row],[BKLN S]]&gt;=0.5),tblHistory[[#This Row],[CCC S]]&gt;=0.8)),0)</f>
        <v/>
      </c>
      <c r="Z518" s="46">
        <f>IFERROR(--AND(tblHistory[[#This Row],[Score]]&gt;=70,tblHistory[[#This Row],[SOX S]]&gt;=0.83,tblHistory[[#This Row],[AIQ S]]&gt;=0.8),0)</f>
        <v/>
      </c>
      <c r="AA51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19">
      <c r="A519" s="42" t="n">
        <v>45572</v>
      </c>
      <c r="B519" s="43" t="n">
        <v>19800.7402</v>
      </c>
      <c r="C519" s="43" t="n">
        <v>5196.7998</v>
      </c>
      <c r="D519" s="43" t="n">
        <v>37.3048</v>
      </c>
      <c r="E519" s="43" t="n">
        <v>16.9738</v>
      </c>
      <c r="F519" s="44" t="n">
        <v>109</v>
      </c>
      <c r="G519" s="44" t="n">
        <v>790</v>
      </c>
      <c r="H519" s="43" t="n">
        <v>12.8704</v>
      </c>
      <c r="I519" s="43" t="n">
        <v>18.2459</v>
      </c>
      <c r="J519" s="44" t="n">
        <v>295</v>
      </c>
      <c r="K51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1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1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1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1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1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1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1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1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19" s="46">
        <f>(Dashboard!$C$13*tblHistory[[#This Row],[NDX S]]+Dashboard!$C$14*tblHistory[[#This Row],[SOX S]]+Dashboard!$C$15*tblHistory[[#This Row],[AIQ S]])/(Dashboard!$C$13+Dashboard!$C$14+Dashboard!$C$15)*100</f>
        <v/>
      </c>
      <c r="U519" s="46">
        <f>(Dashboard!$C$16*tblHistory[[#This Row],[DTCR S]]+Dashboard!$C$17*tblHistory[[#This Row],[BBB S]]+Dashboard!$C$18*tblHistory[[#This Row],[CCC S]])/(Dashboard!$C$16+Dashboard!$C$17+Dashboard!$C$18)*100</f>
        <v/>
      </c>
      <c r="V519" s="46">
        <f>(Dashboard!$C$19*tblHistory[[#This Row],[BIZD S]]+Dashboard!$C$20*tblHistory[[#This Row],[BKLN S]]+Dashboard!$C$21*tblHistory[[#This Row],[HY S]])/(Dashboard!$C$19+Dashboard!$C$20+Dashboard!$C$21)*100</f>
        <v/>
      </c>
      <c r="W51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19" s="46">
        <f>IFERROR(--(tblHistory[[#This Row],[Score]]&gt;=50),0)</f>
        <v/>
      </c>
      <c r="Y519" s="46">
        <f>IFERROR(--AND(tblHistory[[#This Row],[Score]]&gt;=60,OR(AND(tblHistory[[#This Row],[BIZD S]]&gt;=0.8,tblHistory[[#This Row],[BKLN S]]&gt;=0.5),tblHistory[[#This Row],[CCC S]]&gt;=0.8)),0)</f>
        <v/>
      </c>
      <c r="Z519" s="46">
        <f>IFERROR(--AND(tblHistory[[#This Row],[Score]]&gt;=70,tblHistory[[#This Row],[SOX S]]&gt;=0.83,tblHistory[[#This Row],[AIQ S]]&gt;=0.8),0)</f>
        <v/>
      </c>
      <c r="AA51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1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1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1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1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0">
      <c r="A520" s="42" t="n">
        <v>45569</v>
      </c>
      <c r="B520" s="43" t="n">
        <v>20035.0195</v>
      </c>
      <c r="C520" s="43" t="n">
        <v>5206.8398</v>
      </c>
      <c r="D520" s="43" t="n">
        <v>37.4744</v>
      </c>
      <c r="E520" s="43" t="n">
        <v>16.9835</v>
      </c>
      <c r="F520" s="44" t="n">
        <v>110</v>
      </c>
      <c r="G520" s="44" t="n">
        <v>785</v>
      </c>
      <c r="H520" s="43" t="n">
        <v>12.9342</v>
      </c>
      <c r="I520" s="43" t="n">
        <v>18.2632</v>
      </c>
      <c r="J520" s="44" t="n">
        <v>289</v>
      </c>
      <c r="K52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0" s="46">
        <f>(Dashboard!$C$13*tblHistory[[#This Row],[NDX S]]+Dashboard!$C$14*tblHistory[[#This Row],[SOX S]]+Dashboard!$C$15*tblHistory[[#This Row],[AIQ S]])/(Dashboard!$C$13+Dashboard!$C$14+Dashboard!$C$15)*100</f>
        <v/>
      </c>
      <c r="U520" s="46">
        <f>(Dashboard!$C$16*tblHistory[[#This Row],[DTCR S]]+Dashboard!$C$17*tblHistory[[#This Row],[BBB S]]+Dashboard!$C$18*tblHistory[[#This Row],[CCC S]])/(Dashboard!$C$16+Dashboard!$C$17+Dashboard!$C$18)*100</f>
        <v/>
      </c>
      <c r="V520" s="46">
        <f>(Dashboard!$C$19*tblHistory[[#This Row],[BIZD S]]+Dashboard!$C$20*tblHistory[[#This Row],[BKLN S]]+Dashboard!$C$21*tblHistory[[#This Row],[HY S]])/(Dashboard!$C$19+Dashboard!$C$20+Dashboard!$C$21)*100</f>
        <v/>
      </c>
      <c r="W52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0" s="46">
        <f>IFERROR(--(tblHistory[[#This Row],[Score]]&gt;=50),0)</f>
        <v/>
      </c>
      <c r="Y520" s="46">
        <f>IFERROR(--AND(tblHistory[[#This Row],[Score]]&gt;=60,OR(AND(tblHistory[[#This Row],[BIZD S]]&gt;=0.8,tblHistory[[#This Row],[BKLN S]]&gt;=0.5),tblHistory[[#This Row],[CCC S]]&gt;=0.8)),0)</f>
        <v/>
      </c>
      <c r="Z520" s="46">
        <f>IFERROR(--AND(tblHistory[[#This Row],[Score]]&gt;=70,tblHistory[[#This Row],[SOX S]]&gt;=0.83,tblHistory[[#This Row],[AIQ S]]&gt;=0.8),0)</f>
        <v/>
      </c>
      <c r="AA52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1">
      <c r="A521" s="42" t="n">
        <v>45568</v>
      </c>
      <c r="B521" s="43" t="n">
        <v>19793.3398</v>
      </c>
      <c r="C521" s="43" t="n">
        <v>5125.21</v>
      </c>
      <c r="D521" s="43" t="n">
        <v>36.8858</v>
      </c>
      <c r="E521" s="43" t="n">
        <v>16.8666</v>
      </c>
      <c r="F521" s="44" t="n">
        <v>113</v>
      </c>
      <c r="G521" s="44" t="n">
        <v>801</v>
      </c>
      <c r="H521" s="43" t="n">
        <v>12.8465</v>
      </c>
      <c r="I521" s="43" t="n">
        <v>18.1938</v>
      </c>
      <c r="J521" s="44" t="n">
        <v>304</v>
      </c>
      <c r="K52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1" s="46">
        <f>(Dashboard!$C$13*tblHistory[[#This Row],[NDX S]]+Dashboard!$C$14*tblHistory[[#This Row],[SOX S]]+Dashboard!$C$15*tblHistory[[#This Row],[AIQ S]])/(Dashboard!$C$13+Dashboard!$C$14+Dashboard!$C$15)*100</f>
        <v/>
      </c>
      <c r="U521" s="46">
        <f>(Dashboard!$C$16*tblHistory[[#This Row],[DTCR S]]+Dashboard!$C$17*tblHistory[[#This Row],[BBB S]]+Dashboard!$C$18*tblHistory[[#This Row],[CCC S]])/(Dashboard!$C$16+Dashboard!$C$17+Dashboard!$C$18)*100</f>
        <v/>
      </c>
      <c r="V521" s="46">
        <f>(Dashboard!$C$19*tblHistory[[#This Row],[BIZD S]]+Dashboard!$C$20*tblHistory[[#This Row],[BKLN S]]+Dashboard!$C$21*tblHistory[[#This Row],[HY S]])/(Dashboard!$C$19+Dashboard!$C$20+Dashboard!$C$21)*100</f>
        <v/>
      </c>
      <c r="W52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1" s="46">
        <f>IFERROR(--(tblHistory[[#This Row],[Score]]&gt;=50),0)</f>
        <v/>
      </c>
      <c r="Y521" s="46">
        <f>IFERROR(--AND(tblHistory[[#This Row],[Score]]&gt;=60,OR(AND(tblHistory[[#This Row],[BIZD S]]&gt;=0.8,tblHistory[[#This Row],[BKLN S]]&gt;=0.5),tblHistory[[#This Row],[CCC S]]&gt;=0.8)),0)</f>
        <v/>
      </c>
      <c r="Z521" s="46">
        <f>IFERROR(--AND(tblHistory[[#This Row],[Score]]&gt;=70,tblHistory[[#This Row],[SOX S]]&gt;=0.83,tblHistory[[#This Row],[AIQ S]]&gt;=0.8),0)</f>
        <v/>
      </c>
      <c r="AA52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2">
      <c r="A522" s="42" t="n">
        <v>45567</v>
      </c>
      <c r="B522" s="43" t="n">
        <v>19802.5898</v>
      </c>
      <c r="C522" s="43" t="n">
        <v>5099.2002</v>
      </c>
      <c r="D522" s="43" t="n">
        <v>37.0055</v>
      </c>
      <c r="E522" s="43" t="n">
        <v>17.2466</v>
      </c>
      <c r="F522" s="44" t="n">
        <v>115</v>
      </c>
      <c r="G522" s="44" t="n">
        <v>806</v>
      </c>
      <c r="H522" s="43" t="n">
        <v>12.7748</v>
      </c>
      <c r="I522" s="43" t="n">
        <v>18.2025</v>
      </c>
      <c r="J522" s="44" t="n">
        <v>306</v>
      </c>
      <c r="K52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2" s="46">
        <f>(Dashboard!$C$13*tblHistory[[#This Row],[NDX S]]+Dashboard!$C$14*tblHistory[[#This Row],[SOX S]]+Dashboard!$C$15*tblHistory[[#This Row],[AIQ S]])/(Dashboard!$C$13+Dashboard!$C$14+Dashboard!$C$15)*100</f>
        <v/>
      </c>
      <c r="U522" s="46">
        <f>(Dashboard!$C$16*tblHistory[[#This Row],[DTCR S]]+Dashboard!$C$17*tblHistory[[#This Row],[BBB S]]+Dashboard!$C$18*tblHistory[[#This Row],[CCC S]])/(Dashboard!$C$16+Dashboard!$C$17+Dashboard!$C$18)*100</f>
        <v/>
      </c>
      <c r="V522" s="46">
        <f>(Dashboard!$C$19*tblHistory[[#This Row],[BIZD S]]+Dashboard!$C$20*tblHistory[[#This Row],[BKLN S]]+Dashboard!$C$21*tblHistory[[#This Row],[HY S]])/(Dashboard!$C$19+Dashboard!$C$20+Dashboard!$C$21)*100</f>
        <v/>
      </c>
      <c r="W52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2" s="46">
        <f>IFERROR(--(tblHistory[[#This Row],[Score]]&gt;=50),0)</f>
        <v/>
      </c>
      <c r="Y522" s="46">
        <f>IFERROR(--AND(tblHistory[[#This Row],[Score]]&gt;=60,OR(AND(tblHistory[[#This Row],[BIZD S]]&gt;=0.8,tblHistory[[#This Row],[BKLN S]]&gt;=0.5),tblHistory[[#This Row],[CCC S]]&gt;=0.8)),0)</f>
        <v/>
      </c>
      <c r="Z522" s="46">
        <f>IFERROR(--AND(tblHistory[[#This Row],[Score]]&gt;=70,tblHistory[[#This Row],[SOX S]]&gt;=0.83,tblHistory[[#This Row],[AIQ S]]&gt;=0.8),0)</f>
        <v/>
      </c>
      <c r="AA52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3">
      <c r="A523" s="42" t="n">
        <v>45566</v>
      </c>
      <c r="B523" s="43" t="n">
        <v>19773.3008</v>
      </c>
      <c r="C523" s="43" t="n">
        <v>5024.9399</v>
      </c>
      <c r="D523" s="43" t="n">
        <v>36.6363</v>
      </c>
      <c r="E523" s="43" t="n">
        <v>17.1979</v>
      </c>
      <c r="F523" s="44" t="n">
        <v>116</v>
      </c>
      <c r="G523" s="44" t="n">
        <v>806</v>
      </c>
      <c r="H523" s="43" t="n">
        <v>12.7349</v>
      </c>
      <c r="I523" s="43" t="n">
        <v>18.2025</v>
      </c>
      <c r="J523" s="44" t="n">
        <v>307</v>
      </c>
      <c r="K52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3" s="46">
        <f>(Dashboard!$C$13*tblHistory[[#This Row],[NDX S]]+Dashboard!$C$14*tblHistory[[#This Row],[SOX S]]+Dashboard!$C$15*tblHistory[[#This Row],[AIQ S]])/(Dashboard!$C$13+Dashboard!$C$14+Dashboard!$C$15)*100</f>
        <v/>
      </c>
      <c r="U523" s="46">
        <f>(Dashboard!$C$16*tblHistory[[#This Row],[DTCR S]]+Dashboard!$C$17*tblHistory[[#This Row],[BBB S]]+Dashboard!$C$18*tblHistory[[#This Row],[CCC S]])/(Dashboard!$C$16+Dashboard!$C$17+Dashboard!$C$18)*100</f>
        <v/>
      </c>
      <c r="V523" s="46">
        <f>(Dashboard!$C$19*tblHistory[[#This Row],[BIZD S]]+Dashboard!$C$20*tblHistory[[#This Row],[BKLN S]]+Dashboard!$C$21*tblHistory[[#This Row],[HY S]])/(Dashboard!$C$19+Dashboard!$C$20+Dashboard!$C$21)*100</f>
        <v/>
      </c>
      <c r="W52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3" s="46">
        <f>IFERROR(--(tblHistory[[#This Row],[Score]]&gt;=50),0)</f>
        <v/>
      </c>
      <c r="Y523" s="46">
        <f>IFERROR(--AND(tblHistory[[#This Row],[Score]]&gt;=60,OR(AND(tblHistory[[#This Row],[BIZD S]]&gt;=0.8,tblHistory[[#This Row],[BKLN S]]&gt;=0.5),tblHistory[[#This Row],[CCC S]]&gt;=0.8)),0)</f>
        <v/>
      </c>
      <c r="Z523" s="46">
        <f>IFERROR(--AND(tblHistory[[#This Row],[Score]]&gt;=70,tblHistory[[#This Row],[SOX S]]&gt;=0.83,tblHistory[[#This Row],[AIQ S]]&gt;=0.8),0)</f>
        <v/>
      </c>
      <c r="AA52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4">
      <c r="A524" s="42" t="n">
        <v>45565</v>
      </c>
      <c r="B524" s="43" t="n">
        <v>20060.6895</v>
      </c>
      <c r="C524" s="43" t="n">
        <v>5173.0601</v>
      </c>
      <c r="D524" s="43" t="n">
        <v>37.0853</v>
      </c>
      <c r="E524" s="43" t="n">
        <v>17.1687</v>
      </c>
      <c r="F524" s="44" t="n">
        <v>116</v>
      </c>
      <c r="G524" s="44" t="n">
        <v>802</v>
      </c>
      <c r="H524" s="43" t="n">
        <v>12.8282</v>
      </c>
      <c r="I524" s="43" t="n">
        <v>18.2198</v>
      </c>
      <c r="J524" s="44" t="n">
        <v>303</v>
      </c>
      <c r="K52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4" s="46">
        <f>(Dashboard!$C$13*tblHistory[[#This Row],[NDX S]]+Dashboard!$C$14*tblHistory[[#This Row],[SOX S]]+Dashboard!$C$15*tblHistory[[#This Row],[AIQ S]])/(Dashboard!$C$13+Dashboard!$C$14+Dashboard!$C$15)*100</f>
        <v/>
      </c>
      <c r="U524" s="46">
        <f>(Dashboard!$C$16*tblHistory[[#This Row],[DTCR S]]+Dashboard!$C$17*tblHistory[[#This Row],[BBB S]]+Dashboard!$C$18*tblHistory[[#This Row],[CCC S]])/(Dashboard!$C$16+Dashboard!$C$17+Dashboard!$C$18)*100</f>
        <v/>
      </c>
      <c r="V524" s="46">
        <f>(Dashboard!$C$19*tblHistory[[#This Row],[BIZD S]]+Dashboard!$C$20*tblHistory[[#This Row],[BKLN S]]+Dashboard!$C$21*tblHistory[[#This Row],[HY S]])/(Dashboard!$C$19+Dashboard!$C$20+Dashboard!$C$21)*100</f>
        <v/>
      </c>
      <c r="W52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4" s="46">
        <f>IFERROR(--(tblHistory[[#This Row],[Score]]&gt;=50),0)</f>
        <v/>
      </c>
      <c r="Y524" s="46">
        <f>IFERROR(--AND(tblHistory[[#This Row],[Score]]&gt;=60,OR(AND(tblHistory[[#This Row],[BIZD S]]&gt;=0.8,tblHistory[[#This Row],[BKLN S]]&gt;=0.5),tblHistory[[#This Row],[CCC S]]&gt;=0.8)),0)</f>
        <v/>
      </c>
      <c r="Z524" s="46">
        <f>IFERROR(--AND(tblHistory[[#This Row],[Score]]&gt;=70,tblHistory[[#This Row],[SOX S]]&gt;=0.83,tblHistory[[#This Row],[AIQ S]]&gt;=0.8),0)</f>
        <v/>
      </c>
      <c r="AA52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5">
      <c r="A525" s="42" t="n">
        <v>45562</v>
      </c>
      <c r="B525" s="43" t="n">
        <v>20008.6191</v>
      </c>
      <c r="C525" s="43" t="n">
        <v>5217.23</v>
      </c>
      <c r="D525" s="43" t="n">
        <v>37.1452</v>
      </c>
      <c r="E525" s="43" t="n">
        <v>17.1589</v>
      </c>
      <c r="F525" s="44" t="n">
        <v>115</v>
      </c>
      <c r="G525" s="44" t="n">
        <v>840</v>
      </c>
      <c r="H525" s="43" t="n">
        <v>12.8282</v>
      </c>
      <c r="I525" s="43" t="n">
        <v>18.1765</v>
      </c>
      <c r="J525" s="44" t="n">
        <v>314</v>
      </c>
      <c r="K52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5" s="46">
        <f>(Dashboard!$C$13*tblHistory[[#This Row],[NDX S]]+Dashboard!$C$14*tblHistory[[#This Row],[SOX S]]+Dashboard!$C$15*tblHistory[[#This Row],[AIQ S]])/(Dashboard!$C$13+Dashboard!$C$14+Dashboard!$C$15)*100</f>
        <v/>
      </c>
      <c r="U525" s="46">
        <f>(Dashboard!$C$16*tblHistory[[#This Row],[DTCR S]]+Dashboard!$C$17*tblHistory[[#This Row],[BBB S]]+Dashboard!$C$18*tblHistory[[#This Row],[CCC S]])/(Dashboard!$C$16+Dashboard!$C$17+Dashboard!$C$18)*100</f>
        <v/>
      </c>
      <c r="V525" s="46">
        <f>(Dashboard!$C$19*tblHistory[[#This Row],[BIZD S]]+Dashboard!$C$20*tblHistory[[#This Row],[BKLN S]]+Dashboard!$C$21*tblHistory[[#This Row],[HY S]])/(Dashboard!$C$19+Dashboard!$C$20+Dashboard!$C$21)*100</f>
        <v/>
      </c>
      <c r="W52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5" s="46">
        <f>IFERROR(--(tblHistory[[#This Row],[Score]]&gt;=50),0)</f>
        <v/>
      </c>
      <c r="Y525" s="46">
        <f>IFERROR(--AND(tblHistory[[#This Row],[Score]]&gt;=60,OR(AND(tblHistory[[#This Row],[BIZD S]]&gt;=0.8,tblHistory[[#This Row],[BKLN S]]&gt;=0.5),tblHistory[[#This Row],[CCC S]]&gt;=0.8)),0)</f>
        <v/>
      </c>
      <c r="Z525" s="46">
        <f>IFERROR(--AND(tblHistory[[#This Row],[Score]]&gt;=70,tblHistory[[#This Row],[SOX S]]&gt;=0.83,tblHistory[[#This Row],[AIQ S]]&gt;=0.8),0)</f>
        <v/>
      </c>
      <c r="AA52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6">
      <c r="A526" s="42" t="n">
        <v>45561</v>
      </c>
      <c r="B526" s="43" t="n">
        <v>20115.5391</v>
      </c>
      <c r="C526" s="43" t="n">
        <v>5310.5</v>
      </c>
      <c r="D526" s="43" t="n">
        <v>37.235</v>
      </c>
      <c r="E526" s="43" t="n">
        <v>17.0615</v>
      </c>
      <c r="F526" s="44" t="n">
        <v>115</v>
      </c>
      <c r="G526" s="44" t="n">
        <v>863</v>
      </c>
      <c r="H526" s="43" t="n">
        <v>12.7197</v>
      </c>
      <c r="I526" s="43" t="n">
        <v>18.1765</v>
      </c>
      <c r="J526" s="44" t="n">
        <v>314</v>
      </c>
      <c r="K52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6" s="46">
        <f>(Dashboard!$C$13*tblHistory[[#This Row],[NDX S]]+Dashboard!$C$14*tblHistory[[#This Row],[SOX S]]+Dashboard!$C$15*tblHistory[[#This Row],[AIQ S]])/(Dashboard!$C$13+Dashboard!$C$14+Dashboard!$C$15)*100</f>
        <v/>
      </c>
      <c r="U526" s="46">
        <f>(Dashboard!$C$16*tblHistory[[#This Row],[DTCR S]]+Dashboard!$C$17*tblHistory[[#This Row],[BBB S]]+Dashboard!$C$18*tblHistory[[#This Row],[CCC S]])/(Dashboard!$C$16+Dashboard!$C$17+Dashboard!$C$18)*100</f>
        <v/>
      </c>
      <c r="V526" s="46">
        <f>(Dashboard!$C$19*tblHistory[[#This Row],[BIZD S]]+Dashboard!$C$20*tblHistory[[#This Row],[BKLN S]]+Dashboard!$C$21*tblHistory[[#This Row],[HY S]])/(Dashboard!$C$19+Dashboard!$C$20+Dashboard!$C$21)*100</f>
        <v/>
      </c>
      <c r="W52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6" s="46">
        <f>IFERROR(--(tblHistory[[#This Row],[Score]]&gt;=50),0)</f>
        <v/>
      </c>
      <c r="Y526" s="46">
        <f>IFERROR(--AND(tblHistory[[#This Row],[Score]]&gt;=60,OR(AND(tblHistory[[#This Row],[BIZD S]]&gt;=0.8,tblHistory[[#This Row],[BKLN S]]&gt;=0.5),tblHistory[[#This Row],[CCC S]]&gt;=0.8)),0)</f>
        <v/>
      </c>
      <c r="Z526" s="46">
        <f>IFERROR(--AND(tblHistory[[#This Row],[Score]]&gt;=70,tblHistory[[#This Row],[SOX S]]&gt;=0.83,tblHistory[[#This Row],[AIQ S]]&gt;=0.8),0)</f>
        <v/>
      </c>
      <c r="AA52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7">
      <c r="A527" s="42" t="n">
        <v>45560</v>
      </c>
      <c r="B527" s="43" t="n">
        <v>19972.6094</v>
      </c>
      <c r="C527" s="43" t="n">
        <v>5132.52</v>
      </c>
      <c r="D527" s="43" t="n">
        <v>36.4567</v>
      </c>
      <c r="E527" s="43" t="n">
        <v>17.0128</v>
      </c>
      <c r="F527" s="44" t="n">
        <v>115</v>
      </c>
      <c r="G527" s="44" t="n">
        <v>865</v>
      </c>
      <c r="H527" s="43" t="n">
        <v>12.6345</v>
      </c>
      <c r="I527" s="43" t="n">
        <v>18.1678</v>
      </c>
      <c r="J527" s="44" t="n">
        <v>319</v>
      </c>
      <c r="K52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7" s="46">
        <f>(Dashboard!$C$13*tblHistory[[#This Row],[NDX S]]+Dashboard!$C$14*tblHistory[[#This Row],[SOX S]]+Dashboard!$C$15*tblHistory[[#This Row],[AIQ S]])/(Dashboard!$C$13+Dashboard!$C$14+Dashboard!$C$15)*100</f>
        <v/>
      </c>
      <c r="U527" s="46">
        <f>(Dashboard!$C$16*tblHistory[[#This Row],[DTCR S]]+Dashboard!$C$17*tblHistory[[#This Row],[BBB S]]+Dashboard!$C$18*tblHistory[[#This Row],[CCC S]])/(Dashboard!$C$16+Dashboard!$C$17+Dashboard!$C$18)*100</f>
        <v/>
      </c>
      <c r="V527" s="46">
        <f>(Dashboard!$C$19*tblHistory[[#This Row],[BIZD S]]+Dashboard!$C$20*tblHistory[[#This Row],[BKLN S]]+Dashboard!$C$21*tblHistory[[#This Row],[HY S]])/(Dashboard!$C$19+Dashboard!$C$20+Dashboard!$C$21)*100</f>
        <v/>
      </c>
      <c r="W52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7" s="46">
        <f>IFERROR(--(tblHistory[[#This Row],[Score]]&gt;=50),0)</f>
        <v/>
      </c>
      <c r="Y527" s="46">
        <f>IFERROR(--AND(tblHistory[[#This Row],[Score]]&gt;=60,OR(AND(tblHistory[[#This Row],[BIZD S]]&gt;=0.8,tblHistory[[#This Row],[BKLN S]]&gt;=0.5),tblHistory[[#This Row],[CCC S]]&gt;=0.8)),0)</f>
        <v/>
      </c>
      <c r="Z527" s="46">
        <f>IFERROR(--AND(tblHistory[[#This Row],[Score]]&gt;=70,tblHistory[[#This Row],[SOX S]]&gt;=0.83,tblHistory[[#This Row],[AIQ S]]&gt;=0.8),0)</f>
        <v/>
      </c>
      <c r="AA52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8">
      <c r="A528" s="42" t="n">
        <v>45559</v>
      </c>
      <c r="B528" s="43" t="n">
        <v>19944.8398</v>
      </c>
      <c r="C528" s="43" t="n">
        <v>5091.7798</v>
      </c>
      <c r="D528" s="43" t="n">
        <v>36.5665</v>
      </c>
      <c r="E528" s="43" t="n">
        <v>17.1687</v>
      </c>
      <c r="F528" s="44" t="n">
        <v>115</v>
      </c>
      <c r="G528" s="44" t="n">
        <v>868</v>
      </c>
      <c r="H528" s="43" t="n">
        <v>12.7894</v>
      </c>
      <c r="I528" s="43" t="n">
        <v>18.1591</v>
      </c>
      <c r="J528" s="44" t="n">
        <v>321</v>
      </c>
      <c r="K52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8" s="46">
        <f>(Dashboard!$C$13*tblHistory[[#This Row],[NDX S]]+Dashboard!$C$14*tblHistory[[#This Row],[SOX S]]+Dashboard!$C$15*tblHistory[[#This Row],[AIQ S]])/(Dashboard!$C$13+Dashboard!$C$14+Dashboard!$C$15)*100</f>
        <v/>
      </c>
      <c r="U528" s="46">
        <f>(Dashboard!$C$16*tblHistory[[#This Row],[DTCR S]]+Dashboard!$C$17*tblHistory[[#This Row],[BBB S]]+Dashboard!$C$18*tblHistory[[#This Row],[CCC S]])/(Dashboard!$C$16+Dashboard!$C$17+Dashboard!$C$18)*100</f>
        <v/>
      </c>
      <c r="V528" s="46">
        <f>(Dashboard!$C$19*tblHistory[[#This Row],[BIZD S]]+Dashboard!$C$20*tblHistory[[#This Row],[BKLN S]]+Dashboard!$C$21*tblHistory[[#This Row],[HY S]])/(Dashboard!$C$19+Dashboard!$C$20+Dashboard!$C$21)*100</f>
        <v/>
      </c>
      <c r="W52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8" s="46">
        <f>IFERROR(--(tblHistory[[#This Row],[Score]]&gt;=50),0)</f>
        <v/>
      </c>
      <c r="Y528" s="46">
        <f>IFERROR(--AND(tblHistory[[#This Row],[Score]]&gt;=60,OR(AND(tblHistory[[#This Row],[BIZD S]]&gt;=0.8,tblHistory[[#This Row],[BKLN S]]&gt;=0.5),tblHistory[[#This Row],[CCC S]]&gt;=0.8)),0)</f>
        <v/>
      </c>
      <c r="Z528" s="46">
        <f>IFERROR(--AND(tblHistory[[#This Row],[Score]]&gt;=70,tblHistory[[#This Row],[SOX S]]&gt;=0.83,tblHistory[[#This Row],[AIQ S]]&gt;=0.8),0)</f>
        <v/>
      </c>
      <c r="AA52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29">
      <c r="A529" s="42" t="n">
        <v>45558</v>
      </c>
      <c r="B529" s="43" t="n">
        <v>19852.1992</v>
      </c>
      <c r="C529" s="43" t="n">
        <v>5025.8101</v>
      </c>
      <c r="D529" s="43" t="n">
        <v>36.0377</v>
      </c>
      <c r="E529" s="43" t="n">
        <v>16.8861</v>
      </c>
      <c r="F529" s="44" t="n">
        <v>116</v>
      </c>
      <c r="G529" s="44" t="n">
        <v>859</v>
      </c>
      <c r="H529" s="43" t="n">
        <v>12.7972</v>
      </c>
      <c r="I529" s="43" t="n">
        <v>18.1765</v>
      </c>
      <c r="J529" s="44" t="n">
        <v>315</v>
      </c>
      <c r="K52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2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2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2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2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2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2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2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2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29" s="46">
        <f>(Dashboard!$C$13*tblHistory[[#This Row],[NDX S]]+Dashboard!$C$14*tblHistory[[#This Row],[SOX S]]+Dashboard!$C$15*tblHistory[[#This Row],[AIQ S]])/(Dashboard!$C$13+Dashboard!$C$14+Dashboard!$C$15)*100</f>
        <v/>
      </c>
      <c r="U529" s="46">
        <f>(Dashboard!$C$16*tblHistory[[#This Row],[DTCR S]]+Dashboard!$C$17*tblHistory[[#This Row],[BBB S]]+Dashboard!$C$18*tblHistory[[#This Row],[CCC S]])/(Dashboard!$C$16+Dashboard!$C$17+Dashboard!$C$18)*100</f>
        <v/>
      </c>
      <c r="V529" s="46">
        <f>(Dashboard!$C$19*tblHistory[[#This Row],[BIZD S]]+Dashboard!$C$20*tblHistory[[#This Row],[BKLN S]]+Dashboard!$C$21*tblHistory[[#This Row],[HY S]])/(Dashboard!$C$19+Dashboard!$C$20+Dashboard!$C$21)*100</f>
        <v/>
      </c>
      <c r="W52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29" s="46">
        <f>IFERROR(--(tblHistory[[#This Row],[Score]]&gt;=50),0)</f>
        <v/>
      </c>
      <c r="Y529" s="46">
        <f>IFERROR(--AND(tblHistory[[#This Row],[Score]]&gt;=60,OR(AND(tblHistory[[#This Row],[BIZD S]]&gt;=0.8,tblHistory[[#This Row],[BKLN S]]&gt;=0.5),tblHistory[[#This Row],[CCC S]]&gt;=0.8)),0)</f>
        <v/>
      </c>
      <c r="Z529" s="46">
        <f>IFERROR(--AND(tblHistory[[#This Row],[Score]]&gt;=70,tblHistory[[#This Row],[SOX S]]&gt;=0.83,tblHistory[[#This Row],[AIQ S]]&gt;=0.8),0)</f>
        <v/>
      </c>
      <c r="AA52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2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2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2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2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0">
      <c r="A530" s="42" t="n">
        <v>45555</v>
      </c>
      <c r="B530" s="43" t="n">
        <v>19791.4902</v>
      </c>
      <c r="C530" s="43" t="n">
        <v>5000.0601</v>
      </c>
      <c r="D530" s="43" t="n">
        <v>35.8182</v>
      </c>
      <c r="E530" s="43" t="n">
        <v>16.6133</v>
      </c>
      <c r="F530" s="44" t="n">
        <v>117</v>
      </c>
      <c r="G530" s="44" t="n">
        <v>850</v>
      </c>
      <c r="H530" s="43" t="n">
        <v>12.7662</v>
      </c>
      <c r="I530" s="43" t="n">
        <v>18.1765</v>
      </c>
      <c r="J530" s="44" t="n">
        <v>315</v>
      </c>
      <c r="K53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0" s="46">
        <f>(Dashboard!$C$13*tblHistory[[#This Row],[NDX S]]+Dashboard!$C$14*tblHistory[[#This Row],[SOX S]]+Dashboard!$C$15*tblHistory[[#This Row],[AIQ S]])/(Dashboard!$C$13+Dashboard!$C$14+Dashboard!$C$15)*100</f>
        <v/>
      </c>
      <c r="U530" s="46">
        <f>(Dashboard!$C$16*tblHistory[[#This Row],[DTCR S]]+Dashboard!$C$17*tblHistory[[#This Row],[BBB S]]+Dashboard!$C$18*tblHistory[[#This Row],[CCC S]])/(Dashboard!$C$16+Dashboard!$C$17+Dashboard!$C$18)*100</f>
        <v/>
      </c>
      <c r="V530" s="46">
        <f>(Dashboard!$C$19*tblHistory[[#This Row],[BIZD S]]+Dashboard!$C$20*tblHistory[[#This Row],[BKLN S]]+Dashboard!$C$21*tblHistory[[#This Row],[HY S]])/(Dashboard!$C$19+Dashboard!$C$20+Dashboard!$C$21)*100</f>
        <v/>
      </c>
      <c r="W53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0" s="46">
        <f>IFERROR(--(tblHistory[[#This Row],[Score]]&gt;=50),0)</f>
        <v/>
      </c>
      <c r="Y530" s="46">
        <f>IFERROR(--AND(tblHistory[[#This Row],[Score]]&gt;=60,OR(AND(tblHistory[[#This Row],[BIZD S]]&gt;=0.8,tblHistory[[#This Row],[BKLN S]]&gt;=0.5),tblHistory[[#This Row],[CCC S]]&gt;=0.8)),0)</f>
        <v/>
      </c>
      <c r="Z530" s="46">
        <f>IFERROR(--AND(tblHistory[[#This Row],[Score]]&gt;=70,tblHistory[[#This Row],[SOX S]]&gt;=0.83,tblHistory[[#This Row],[AIQ S]]&gt;=0.8),0)</f>
        <v/>
      </c>
      <c r="AA53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1">
      <c r="A531" s="42" t="n">
        <v>45554</v>
      </c>
      <c r="B531" s="43" t="n">
        <v>19839.8301</v>
      </c>
      <c r="C531" s="43" t="n">
        <v>5066.6499</v>
      </c>
      <c r="D531" s="43" t="n">
        <v>35.9279</v>
      </c>
      <c r="E531" s="43" t="n">
        <v>16.584</v>
      </c>
      <c r="F531" s="44" t="n">
        <v>116</v>
      </c>
      <c r="G531" s="44" t="n">
        <v>847</v>
      </c>
      <c r="H531" s="43" t="n">
        <v>12.8204</v>
      </c>
      <c r="I531" s="43" t="n">
        <v>18.1851</v>
      </c>
      <c r="J531" s="44" t="n">
        <v>310</v>
      </c>
      <c r="K53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1" s="46">
        <f>(Dashboard!$C$13*tblHistory[[#This Row],[NDX S]]+Dashboard!$C$14*tblHistory[[#This Row],[SOX S]]+Dashboard!$C$15*tblHistory[[#This Row],[AIQ S]])/(Dashboard!$C$13+Dashboard!$C$14+Dashboard!$C$15)*100</f>
        <v/>
      </c>
      <c r="U531" s="46">
        <f>(Dashboard!$C$16*tblHistory[[#This Row],[DTCR S]]+Dashboard!$C$17*tblHistory[[#This Row],[BBB S]]+Dashboard!$C$18*tblHistory[[#This Row],[CCC S]])/(Dashboard!$C$16+Dashboard!$C$17+Dashboard!$C$18)*100</f>
        <v/>
      </c>
      <c r="V531" s="46">
        <f>(Dashboard!$C$19*tblHistory[[#This Row],[BIZD S]]+Dashboard!$C$20*tblHistory[[#This Row],[BKLN S]]+Dashboard!$C$21*tblHistory[[#This Row],[HY S]])/(Dashboard!$C$19+Dashboard!$C$20+Dashboard!$C$21)*100</f>
        <v/>
      </c>
      <c r="W53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1" s="46">
        <f>IFERROR(--(tblHistory[[#This Row],[Score]]&gt;=50),0)</f>
        <v/>
      </c>
      <c r="Y531" s="46">
        <f>IFERROR(--AND(tblHistory[[#This Row],[Score]]&gt;=60,OR(AND(tblHistory[[#This Row],[BIZD S]]&gt;=0.8,tblHistory[[#This Row],[BKLN S]]&gt;=0.5),tblHistory[[#This Row],[CCC S]]&gt;=0.8)),0)</f>
        <v/>
      </c>
      <c r="Z531" s="46">
        <f>IFERROR(--AND(tblHistory[[#This Row],[Score]]&gt;=70,tblHistory[[#This Row],[SOX S]]&gt;=0.83,tblHistory[[#This Row],[AIQ S]]&gt;=0.8),0)</f>
        <v/>
      </c>
      <c r="AA53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2">
      <c r="A532" s="42" t="n">
        <v>45553</v>
      </c>
      <c r="B532" s="43" t="n">
        <v>19344.4902</v>
      </c>
      <c r="C532" s="43" t="n">
        <v>4859.29</v>
      </c>
      <c r="D532" s="43" t="n">
        <v>34.9602</v>
      </c>
      <c r="E532" s="43" t="n">
        <v>16.2917</v>
      </c>
      <c r="F532" s="44" t="n">
        <v>119</v>
      </c>
      <c r="G532" s="44" t="n">
        <v>871</v>
      </c>
      <c r="H532" s="43" t="n">
        <v>12.6965</v>
      </c>
      <c r="I532" s="43" t="n">
        <v>18.1679</v>
      </c>
      <c r="J532" s="44" t="n">
        <v>321</v>
      </c>
      <c r="K53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2" s="46">
        <f>(Dashboard!$C$13*tblHistory[[#This Row],[NDX S]]+Dashboard!$C$14*tblHistory[[#This Row],[SOX S]]+Dashboard!$C$15*tblHistory[[#This Row],[AIQ S]])/(Dashboard!$C$13+Dashboard!$C$14+Dashboard!$C$15)*100</f>
        <v/>
      </c>
      <c r="U532" s="46">
        <f>(Dashboard!$C$16*tblHistory[[#This Row],[DTCR S]]+Dashboard!$C$17*tblHistory[[#This Row],[BBB S]]+Dashboard!$C$18*tblHistory[[#This Row],[CCC S]])/(Dashboard!$C$16+Dashboard!$C$17+Dashboard!$C$18)*100</f>
        <v/>
      </c>
      <c r="V532" s="46">
        <f>(Dashboard!$C$19*tblHistory[[#This Row],[BIZD S]]+Dashboard!$C$20*tblHistory[[#This Row],[BKLN S]]+Dashboard!$C$21*tblHistory[[#This Row],[HY S]])/(Dashboard!$C$19+Dashboard!$C$20+Dashboard!$C$21)*100</f>
        <v/>
      </c>
      <c r="W53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2" s="46">
        <f>IFERROR(--(tblHistory[[#This Row],[Score]]&gt;=50),0)</f>
        <v/>
      </c>
      <c r="Y532" s="46">
        <f>IFERROR(--AND(tblHistory[[#This Row],[Score]]&gt;=60,OR(AND(tblHistory[[#This Row],[BIZD S]]&gt;=0.8,tblHistory[[#This Row],[BKLN S]]&gt;=0.5),tblHistory[[#This Row],[CCC S]]&gt;=0.8)),0)</f>
        <v/>
      </c>
      <c r="Z532" s="46">
        <f>IFERROR(--AND(tblHistory[[#This Row],[Score]]&gt;=70,tblHistory[[#This Row],[SOX S]]&gt;=0.83,tblHistory[[#This Row],[AIQ S]]&gt;=0.8),0)</f>
        <v/>
      </c>
      <c r="AA53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3">
      <c r="A533" s="42" t="n">
        <v>45552</v>
      </c>
      <c r="B533" s="43" t="n">
        <v>19432.4004</v>
      </c>
      <c r="C533" s="43" t="n">
        <v>4912.1001</v>
      </c>
      <c r="D533" s="43" t="n">
        <v>35.0799</v>
      </c>
      <c r="E533" s="43" t="n">
        <v>16.4963</v>
      </c>
      <c r="F533" s="44" t="n">
        <v>120</v>
      </c>
      <c r="G533" s="44" t="n">
        <v>877</v>
      </c>
      <c r="H533" s="43" t="n">
        <v>12.6422</v>
      </c>
      <c r="I533" s="43" t="n">
        <v>18.1679</v>
      </c>
      <c r="J533" s="44" t="n">
        <v>325</v>
      </c>
      <c r="K53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3" s="46">
        <f>(Dashboard!$C$13*tblHistory[[#This Row],[NDX S]]+Dashboard!$C$14*tblHistory[[#This Row],[SOX S]]+Dashboard!$C$15*tblHistory[[#This Row],[AIQ S]])/(Dashboard!$C$13+Dashboard!$C$14+Dashboard!$C$15)*100</f>
        <v/>
      </c>
      <c r="U533" s="46">
        <f>(Dashboard!$C$16*tblHistory[[#This Row],[DTCR S]]+Dashboard!$C$17*tblHistory[[#This Row],[BBB S]]+Dashboard!$C$18*tblHistory[[#This Row],[CCC S]])/(Dashboard!$C$16+Dashboard!$C$17+Dashboard!$C$18)*100</f>
        <v/>
      </c>
      <c r="V533" s="46">
        <f>(Dashboard!$C$19*tblHistory[[#This Row],[BIZD S]]+Dashboard!$C$20*tblHistory[[#This Row],[BKLN S]]+Dashboard!$C$21*tblHistory[[#This Row],[HY S]])/(Dashboard!$C$19+Dashboard!$C$20+Dashboard!$C$21)*100</f>
        <v/>
      </c>
      <c r="W53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3" s="46">
        <f>IFERROR(--(tblHistory[[#This Row],[Score]]&gt;=50),0)</f>
        <v/>
      </c>
      <c r="Y533" s="46">
        <f>IFERROR(--AND(tblHistory[[#This Row],[Score]]&gt;=60,OR(AND(tblHistory[[#This Row],[BIZD S]]&gt;=0.8,tblHistory[[#This Row],[BKLN S]]&gt;=0.5),tblHistory[[#This Row],[CCC S]]&gt;=0.8)),0)</f>
        <v/>
      </c>
      <c r="Z533" s="46">
        <f>IFERROR(--AND(tblHistory[[#This Row],[Score]]&gt;=70,tblHistory[[#This Row],[SOX S]]&gt;=0.83,tblHistory[[#This Row],[AIQ S]]&gt;=0.8),0)</f>
        <v/>
      </c>
      <c r="AA53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4">
      <c r="A534" s="42" t="n">
        <v>45551</v>
      </c>
      <c r="B534" s="43" t="n">
        <v>19423.0605</v>
      </c>
      <c r="C534" s="43" t="n">
        <v>4910.4399</v>
      </c>
      <c r="D534" s="43" t="n">
        <v>35.1198</v>
      </c>
      <c r="E534" s="43" t="n">
        <v>16.3892</v>
      </c>
      <c r="F534" s="44" t="n">
        <v>122</v>
      </c>
      <c r="G534" s="44" t="n">
        <v>890</v>
      </c>
      <c r="H534" s="43" t="n">
        <v>12.743</v>
      </c>
      <c r="I534" s="43" t="n">
        <v>18.1593</v>
      </c>
      <c r="J534" s="44" t="n">
        <v>332</v>
      </c>
      <c r="K53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4" s="46">
        <f>(Dashboard!$C$13*tblHistory[[#This Row],[NDX S]]+Dashboard!$C$14*tblHistory[[#This Row],[SOX S]]+Dashboard!$C$15*tblHistory[[#This Row],[AIQ S]])/(Dashboard!$C$13+Dashboard!$C$14+Dashboard!$C$15)*100</f>
        <v/>
      </c>
      <c r="U534" s="46">
        <f>(Dashboard!$C$16*tblHistory[[#This Row],[DTCR S]]+Dashboard!$C$17*tblHistory[[#This Row],[BBB S]]+Dashboard!$C$18*tblHistory[[#This Row],[CCC S]])/(Dashboard!$C$16+Dashboard!$C$17+Dashboard!$C$18)*100</f>
        <v/>
      </c>
      <c r="V534" s="46">
        <f>(Dashboard!$C$19*tblHistory[[#This Row],[BIZD S]]+Dashboard!$C$20*tblHistory[[#This Row],[BKLN S]]+Dashboard!$C$21*tblHistory[[#This Row],[HY S]])/(Dashboard!$C$19+Dashboard!$C$20+Dashboard!$C$21)*100</f>
        <v/>
      </c>
      <c r="W53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4" s="46">
        <f>IFERROR(--(tblHistory[[#This Row],[Score]]&gt;=50),0)</f>
        <v/>
      </c>
      <c r="Y534" s="46">
        <f>IFERROR(--AND(tblHistory[[#This Row],[Score]]&gt;=60,OR(AND(tblHistory[[#This Row],[BIZD S]]&gt;=0.8,tblHistory[[#This Row],[BKLN S]]&gt;=0.5),tblHistory[[#This Row],[CCC S]]&gt;=0.8)),0)</f>
        <v/>
      </c>
      <c r="Z534" s="46">
        <f>IFERROR(--AND(tblHistory[[#This Row],[Score]]&gt;=70,tblHistory[[#This Row],[SOX S]]&gt;=0.83,tblHistory[[#This Row],[AIQ S]]&gt;=0.8),0)</f>
        <v/>
      </c>
      <c r="AA53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5">
      <c r="A535" s="42" t="n">
        <v>45548</v>
      </c>
      <c r="B535" s="43" t="n">
        <v>19514.5898</v>
      </c>
      <c r="C535" s="43" t="n">
        <v>4980.4902</v>
      </c>
      <c r="D535" s="43" t="n">
        <v>35.01</v>
      </c>
      <c r="E535" s="43" t="n">
        <v>16.3697</v>
      </c>
      <c r="F535" s="44" t="n">
        <v>123</v>
      </c>
      <c r="G535" s="44" t="n">
        <v>919</v>
      </c>
      <c r="H535" s="43" t="n">
        <v>12.7352</v>
      </c>
      <c r="I535" s="43" t="n">
        <v>18.1421</v>
      </c>
      <c r="J535" s="44" t="n">
        <v>337</v>
      </c>
      <c r="K53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5" s="46">
        <f>(Dashboard!$C$13*tblHistory[[#This Row],[NDX S]]+Dashboard!$C$14*tblHistory[[#This Row],[SOX S]]+Dashboard!$C$15*tblHistory[[#This Row],[AIQ S]])/(Dashboard!$C$13+Dashboard!$C$14+Dashboard!$C$15)*100</f>
        <v/>
      </c>
      <c r="U535" s="46">
        <f>(Dashboard!$C$16*tblHistory[[#This Row],[DTCR S]]+Dashboard!$C$17*tblHistory[[#This Row],[BBB S]]+Dashboard!$C$18*tblHistory[[#This Row],[CCC S]])/(Dashboard!$C$16+Dashboard!$C$17+Dashboard!$C$18)*100</f>
        <v/>
      </c>
      <c r="V535" s="46">
        <f>(Dashboard!$C$19*tblHistory[[#This Row],[BIZD S]]+Dashboard!$C$20*tblHistory[[#This Row],[BKLN S]]+Dashboard!$C$21*tblHistory[[#This Row],[HY S]])/(Dashboard!$C$19+Dashboard!$C$20+Dashboard!$C$21)*100</f>
        <v/>
      </c>
      <c r="W53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5" s="46">
        <f>IFERROR(--(tblHistory[[#This Row],[Score]]&gt;=50),0)</f>
        <v/>
      </c>
      <c r="Y535" s="46">
        <f>IFERROR(--AND(tblHistory[[#This Row],[Score]]&gt;=60,OR(AND(tblHistory[[#This Row],[BIZD S]]&gt;=0.8,tblHistory[[#This Row],[BKLN S]]&gt;=0.5),tblHistory[[#This Row],[CCC S]]&gt;=0.8)),0)</f>
        <v/>
      </c>
      <c r="Z535" s="46">
        <f>IFERROR(--AND(tblHistory[[#This Row],[Score]]&gt;=70,tblHistory[[#This Row],[SOX S]]&gt;=0.83,tblHistory[[#This Row],[AIQ S]]&gt;=0.8),0)</f>
        <v/>
      </c>
      <c r="AA53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6">
      <c r="A536" s="42" t="n">
        <v>45547</v>
      </c>
      <c r="B536" s="43" t="n">
        <v>19423.0703</v>
      </c>
      <c r="C536" s="43" t="n">
        <v>4898.4399</v>
      </c>
      <c r="D536" s="43" t="n">
        <v>34.9302</v>
      </c>
      <c r="E536" s="43" t="n">
        <v>16.2333</v>
      </c>
      <c r="F536" s="44" t="n">
        <v>124</v>
      </c>
      <c r="G536" s="44" t="n">
        <v>917</v>
      </c>
      <c r="H536" s="43" t="n">
        <v>12.6035</v>
      </c>
      <c r="I536" s="43" t="n">
        <v>18.1421</v>
      </c>
      <c r="J536" s="44" t="n">
        <v>339</v>
      </c>
      <c r="K53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6" s="46">
        <f>(Dashboard!$C$13*tblHistory[[#This Row],[NDX S]]+Dashboard!$C$14*tblHistory[[#This Row],[SOX S]]+Dashboard!$C$15*tblHistory[[#This Row],[AIQ S]])/(Dashboard!$C$13+Dashboard!$C$14+Dashboard!$C$15)*100</f>
        <v/>
      </c>
      <c r="U536" s="46">
        <f>(Dashboard!$C$16*tblHistory[[#This Row],[DTCR S]]+Dashboard!$C$17*tblHistory[[#This Row],[BBB S]]+Dashboard!$C$18*tblHistory[[#This Row],[CCC S]])/(Dashboard!$C$16+Dashboard!$C$17+Dashboard!$C$18)*100</f>
        <v/>
      </c>
      <c r="V536" s="46">
        <f>(Dashboard!$C$19*tblHistory[[#This Row],[BIZD S]]+Dashboard!$C$20*tblHistory[[#This Row],[BKLN S]]+Dashboard!$C$21*tblHistory[[#This Row],[HY S]])/(Dashboard!$C$19+Dashboard!$C$20+Dashboard!$C$21)*100</f>
        <v/>
      </c>
      <c r="W53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6" s="46">
        <f>IFERROR(--(tblHistory[[#This Row],[Score]]&gt;=50),0)</f>
        <v/>
      </c>
      <c r="Y536" s="46">
        <f>IFERROR(--AND(tblHistory[[#This Row],[Score]]&gt;=60,OR(AND(tblHistory[[#This Row],[BIZD S]]&gt;=0.8,tblHistory[[#This Row],[BKLN S]]&gt;=0.5),tblHistory[[#This Row],[CCC S]]&gt;=0.8)),0)</f>
        <v/>
      </c>
      <c r="Z536" s="46">
        <f>IFERROR(--AND(tblHistory[[#This Row],[Score]]&gt;=70,tblHistory[[#This Row],[SOX S]]&gt;=0.83,tblHistory[[#This Row],[AIQ S]]&gt;=0.8),0)</f>
        <v/>
      </c>
      <c r="AA53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7">
      <c r="A537" s="42" t="n">
        <v>45546</v>
      </c>
      <c r="B537" s="43" t="n">
        <v>19237.3008</v>
      </c>
      <c r="C537" s="43" t="n">
        <v>4910.1699</v>
      </c>
      <c r="D537" s="43" t="n">
        <v>34.581</v>
      </c>
      <c r="E537" s="43" t="n">
        <v>16.3307</v>
      </c>
      <c r="F537" s="44" t="n">
        <v>125</v>
      </c>
      <c r="G537" s="44" t="n">
        <v>927</v>
      </c>
      <c r="H537" s="43" t="n">
        <v>12.5028</v>
      </c>
      <c r="I537" s="43" t="n">
        <v>18.1249</v>
      </c>
      <c r="J537" s="44" t="n">
        <v>344</v>
      </c>
      <c r="K53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7" s="46">
        <f>(Dashboard!$C$13*tblHistory[[#This Row],[NDX S]]+Dashboard!$C$14*tblHistory[[#This Row],[SOX S]]+Dashboard!$C$15*tblHistory[[#This Row],[AIQ S]])/(Dashboard!$C$13+Dashboard!$C$14+Dashboard!$C$15)*100</f>
        <v/>
      </c>
      <c r="U537" s="46">
        <f>(Dashboard!$C$16*tblHistory[[#This Row],[DTCR S]]+Dashboard!$C$17*tblHistory[[#This Row],[BBB S]]+Dashboard!$C$18*tblHistory[[#This Row],[CCC S]])/(Dashboard!$C$16+Dashboard!$C$17+Dashboard!$C$18)*100</f>
        <v/>
      </c>
      <c r="V537" s="46">
        <f>(Dashboard!$C$19*tblHistory[[#This Row],[BIZD S]]+Dashboard!$C$20*tblHistory[[#This Row],[BKLN S]]+Dashboard!$C$21*tblHistory[[#This Row],[HY S]])/(Dashboard!$C$19+Dashboard!$C$20+Dashboard!$C$21)*100</f>
        <v/>
      </c>
      <c r="W53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7" s="46">
        <f>IFERROR(--(tblHistory[[#This Row],[Score]]&gt;=50),0)</f>
        <v/>
      </c>
      <c r="Y537" s="46">
        <f>IFERROR(--AND(tblHistory[[#This Row],[Score]]&gt;=60,OR(AND(tblHistory[[#This Row],[BIZD S]]&gt;=0.8,tblHistory[[#This Row],[BKLN S]]&gt;=0.5),tblHistory[[#This Row],[CCC S]]&gt;=0.8)),0)</f>
        <v/>
      </c>
      <c r="Z537" s="46">
        <f>IFERROR(--AND(tblHistory[[#This Row],[Score]]&gt;=70,tblHistory[[#This Row],[SOX S]]&gt;=0.83,tblHistory[[#This Row],[AIQ S]]&gt;=0.8),0)</f>
        <v/>
      </c>
      <c r="AA53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8">
      <c r="A538" s="42" t="n">
        <v>45545</v>
      </c>
      <c r="B538" s="43" t="n">
        <v>18829.1406</v>
      </c>
      <c r="C538" s="43" t="n">
        <v>4680.6699</v>
      </c>
      <c r="D538" s="43" t="n">
        <v>33.9425</v>
      </c>
      <c r="E538" s="43" t="n">
        <v>16.2625</v>
      </c>
      <c r="F538" s="44" t="n">
        <v>125</v>
      </c>
      <c r="G538" s="44" t="n">
        <v>933</v>
      </c>
      <c r="H538" s="43" t="n">
        <v>12.4796</v>
      </c>
      <c r="I538" s="43" t="n">
        <v>18.1249</v>
      </c>
      <c r="J538" s="44" t="n">
        <v>346</v>
      </c>
      <c r="K53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8" s="46">
        <f>(Dashboard!$C$13*tblHistory[[#This Row],[NDX S]]+Dashboard!$C$14*tblHistory[[#This Row],[SOX S]]+Dashboard!$C$15*tblHistory[[#This Row],[AIQ S]])/(Dashboard!$C$13+Dashboard!$C$14+Dashboard!$C$15)*100</f>
        <v/>
      </c>
      <c r="U538" s="46">
        <f>(Dashboard!$C$16*tblHistory[[#This Row],[DTCR S]]+Dashboard!$C$17*tblHistory[[#This Row],[BBB S]]+Dashboard!$C$18*tblHistory[[#This Row],[CCC S]])/(Dashboard!$C$16+Dashboard!$C$17+Dashboard!$C$18)*100</f>
        <v/>
      </c>
      <c r="V538" s="46">
        <f>(Dashboard!$C$19*tblHistory[[#This Row],[BIZD S]]+Dashboard!$C$20*tblHistory[[#This Row],[BKLN S]]+Dashboard!$C$21*tblHistory[[#This Row],[HY S]])/(Dashboard!$C$19+Dashboard!$C$20+Dashboard!$C$21)*100</f>
        <v/>
      </c>
      <c r="W53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8" s="46">
        <f>IFERROR(--(tblHistory[[#This Row],[Score]]&gt;=50),0)</f>
        <v/>
      </c>
      <c r="Y538" s="46">
        <f>IFERROR(--AND(tblHistory[[#This Row],[Score]]&gt;=60,OR(AND(tblHistory[[#This Row],[BIZD S]]&gt;=0.8,tblHistory[[#This Row],[BKLN S]]&gt;=0.5),tblHistory[[#This Row],[CCC S]]&gt;=0.8)),0)</f>
        <v/>
      </c>
      <c r="Z538" s="46">
        <f>IFERROR(--AND(tblHistory[[#This Row],[Score]]&gt;=70,tblHistory[[#This Row],[SOX S]]&gt;=0.83,tblHistory[[#This Row],[AIQ S]]&gt;=0.8),0)</f>
        <v/>
      </c>
      <c r="AA53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39">
      <c r="A539" s="42" t="n">
        <v>45544</v>
      </c>
      <c r="B539" s="43" t="n">
        <v>18660.7793</v>
      </c>
      <c r="C539" s="43" t="n">
        <v>4625.7798</v>
      </c>
      <c r="D539" s="43" t="n">
        <v>33.6432</v>
      </c>
      <c r="E539" s="43" t="n">
        <v>16.0072</v>
      </c>
      <c r="F539" s="44" t="n">
        <v>123</v>
      </c>
      <c r="G539" s="44" t="n">
        <v>929</v>
      </c>
      <c r="H539" s="43" t="n">
        <v>12.5261</v>
      </c>
      <c r="I539" s="43" t="n">
        <v>18.1077</v>
      </c>
      <c r="J539" s="44" t="n">
        <v>336</v>
      </c>
      <c r="K53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3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3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3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3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3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3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3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3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39" s="46">
        <f>(Dashboard!$C$13*tblHistory[[#This Row],[NDX S]]+Dashboard!$C$14*tblHistory[[#This Row],[SOX S]]+Dashboard!$C$15*tblHistory[[#This Row],[AIQ S]])/(Dashboard!$C$13+Dashboard!$C$14+Dashboard!$C$15)*100</f>
        <v/>
      </c>
      <c r="U539" s="46">
        <f>(Dashboard!$C$16*tblHistory[[#This Row],[DTCR S]]+Dashboard!$C$17*tblHistory[[#This Row],[BBB S]]+Dashboard!$C$18*tblHistory[[#This Row],[CCC S]])/(Dashboard!$C$16+Dashboard!$C$17+Dashboard!$C$18)*100</f>
        <v/>
      </c>
      <c r="V539" s="46">
        <f>(Dashboard!$C$19*tblHistory[[#This Row],[BIZD S]]+Dashboard!$C$20*tblHistory[[#This Row],[BKLN S]]+Dashboard!$C$21*tblHistory[[#This Row],[HY S]])/(Dashboard!$C$19+Dashboard!$C$20+Dashboard!$C$21)*100</f>
        <v/>
      </c>
      <c r="W53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39" s="46">
        <f>IFERROR(--(tblHistory[[#This Row],[Score]]&gt;=50),0)</f>
        <v/>
      </c>
      <c r="Y539" s="46">
        <f>IFERROR(--AND(tblHistory[[#This Row],[Score]]&gt;=60,OR(AND(tblHistory[[#This Row],[BIZD S]]&gt;=0.8,tblHistory[[#This Row],[BKLN S]]&gt;=0.5),tblHistory[[#This Row],[CCC S]]&gt;=0.8)),0)</f>
        <v/>
      </c>
      <c r="Z539" s="46">
        <f>IFERROR(--AND(tblHistory[[#This Row],[Score]]&gt;=70,tblHistory[[#This Row],[SOX S]]&gt;=0.83,tblHistory[[#This Row],[AIQ S]]&gt;=0.8),0)</f>
        <v/>
      </c>
      <c r="AA53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3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3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3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3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0">
      <c r="A540" s="42" t="n">
        <v>45541</v>
      </c>
      <c r="B540" s="43" t="n">
        <v>18421.3105</v>
      </c>
      <c r="C540" s="43" t="n">
        <v>4528.2202</v>
      </c>
      <c r="D540" s="43" t="n">
        <v>33.274</v>
      </c>
      <c r="E540" s="43" t="n">
        <v>15.7461</v>
      </c>
      <c r="F540" s="44" t="n">
        <v>124</v>
      </c>
      <c r="G540" s="44" t="n">
        <v>937</v>
      </c>
      <c r="H540" s="43" t="n">
        <v>12.4951</v>
      </c>
      <c r="I540" s="43" t="n">
        <v>18.0732</v>
      </c>
      <c r="J540" s="44" t="n">
        <v>339</v>
      </c>
      <c r="K54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0" s="46">
        <f>(Dashboard!$C$13*tblHistory[[#This Row],[NDX S]]+Dashboard!$C$14*tblHistory[[#This Row],[SOX S]]+Dashboard!$C$15*tblHistory[[#This Row],[AIQ S]])/(Dashboard!$C$13+Dashboard!$C$14+Dashboard!$C$15)*100</f>
        <v/>
      </c>
      <c r="U540" s="46">
        <f>(Dashboard!$C$16*tblHistory[[#This Row],[DTCR S]]+Dashboard!$C$17*tblHistory[[#This Row],[BBB S]]+Dashboard!$C$18*tblHistory[[#This Row],[CCC S]])/(Dashboard!$C$16+Dashboard!$C$17+Dashboard!$C$18)*100</f>
        <v/>
      </c>
      <c r="V540" s="46">
        <f>(Dashboard!$C$19*tblHistory[[#This Row],[BIZD S]]+Dashboard!$C$20*tblHistory[[#This Row],[BKLN S]]+Dashboard!$C$21*tblHistory[[#This Row],[HY S]])/(Dashboard!$C$19+Dashboard!$C$20+Dashboard!$C$21)*100</f>
        <v/>
      </c>
      <c r="W54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0" s="46">
        <f>IFERROR(--(tblHistory[[#This Row],[Score]]&gt;=50),0)</f>
        <v/>
      </c>
      <c r="Y540" s="46">
        <f>IFERROR(--AND(tblHistory[[#This Row],[Score]]&gt;=60,OR(AND(tblHistory[[#This Row],[BIZD S]]&gt;=0.8,tblHistory[[#This Row],[BKLN S]]&gt;=0.5),tblHistory[[#This Row],[CCC S]]&gt;=0.8)),0)</f>
        <v/>
      </c>
      <c r="Z540" s="46">
        <f>IFERROR(--AND(tblHistory[[#This Row],[Score]]&gt;=70,tblHistory[[#This Row],[SOX S]]&gt;=0.83,tblHistory[[#This Row],[AIQ S]]&gt;=0.8),0)</f>
        <v/>
      </c>
      <c r="AA54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1">
      <c r="A541" s="42" t="n">
        <v>45540</v>
      </c>
      <c r="B541" s="43" t="n">
        <v>18930.3301</v>
      </c>
      <c r="C541" s="43" t="n">
        <v>4742.4199</v>
      </c>
      <c r="D541" s="43" t="n">
        <v>34.1919</v>
      </c>
      <c r="E541" s="43" t="n">
        <v>15.902</v>
      </c>
      <c r="F541" s="44" t="n">
        <v>123</v>
      </c>
      <c r="G541" s="44" t="n">
        <v>932</v>
      </c>
      <c r="H541" s="43" t="n">
        <v>12.6577</v>
      </c>
      <c r="I541" s="43" t="n">
        <v>18.0905</v>
      </c>
      <c r="J541" s="44" t="n">
        <v>329</v>
      </c>
      <c r="K54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1" s="46">
        <f>(Dashboard!$C$13*tblHistory[[#This Row],[NDX S]]+Dashboard!$C$14*tblHistory[[#This Row],[SOX S]]+Dashboard!$C$15*tblHistory[[#This Row],[AIQ S]])/(Dashboard!$C$13+Dashboard!$C$14+Dashboard!$C$15)*100</f>
        <v/>
      </c>
      <c r="U541" s="46">
        <f>(Dashboard!$C$16*tblHistory[[#This Row],[DTCR S]]+Dashboard!$C$17*tblHistory[[#This Row],[BBB S]]+Dashboard!$C$18*tblHistory[[#This Row],[CCC S]])/(Dashboard!$C$16+Dashboard!$C$17+Dashboard!$C$18)*100</f>
        <v/>
      </c>
      <c r="V541" s="46">
        <f>(Dashboard!$C$19*tblHistory[[#This Row],[BIZD S]]+Dashboard!$C$20*tblHistory[[#This Row],[BKLN S]]+Dashboard!$C$21*tblHistory[[#This Row],[HY S]])/(Dashboard!$C$19+Dashboard!$C$20+Dashboard!$C$21)*100</f>
        <v/>
      </c>
      <c r="W54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1" s="46">
        <f>IFERROR(--(tblHistory[[#This Row],[Score]]&gt;=50),0)</f>
        <v/>
      </c>
      <c r="Y541" s="46">
        <f>IFERROR(--AND(tblHistory[[#This Row],[Score]]&gt;=60,OR(AND(tblHistory[[#This Row],[BIZD S]]&gt;=0.8,tblHistory[[#This Row],[BKLN S]]&gt;=0.5),tblHistory[[#This Row],[CCC S]]&gt;=0.8)),0)</f>
        <v/>
      </c>
      <c r="Z541" s="46">
        <f>IFERROR(--AND(tblHistory[[#This Row],[Score]]&gt;=70,tblHistory[[#This Row],[SOX S]]&gt;=0.83,tblHistory[[#This Row],[AIQ S]]&gt;=0.8),0)</f>
        <v/>
      </c>
      <c r="AA54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2">
      <c r="A542" s="42" t="n">
        <v>45539</v>
      </c>
      <c r="B542" s="43" t="n">
        <v>18921.4004</v>
      </c>
      <c r="C542" s="43" t="n">
        <v>4770.8501</v>
      </c>
      <c r="D542" s="43" t="n">
        <v>34.152</v>
      </c>
      <c r="E542" s="43" t="n">
        <v>15.522</v>
      </c>
      <c r="F542" s="44" t="n">
        <v>123</v>
      </c>
      <c r="G542" s="44" t="n">
        <v>957</v>
      </c>
      <c r="H542" s="43" t="n">
        <v>12.65</v>
      </c>
      <c r="I542" s="43" t="n">
        <v>18.0732</v>
      </c>
      <c r="J542" s="44" t="n">
        <v>335</v>
      </c>
      <c r="K54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2" s="46">
        <f>(Dashboard!$C$13*tblHistory[[#This Row],[NDX S]]+Dashboard!$C$14*tblHistory[[#This Row],[SOX S]]+Dashboard!$C$15*tblHistory[[#This Row],[AIQ S]])/(Dashboard!$C$13+Dashboard!$C$14+Dashboard!$C$15)*100</f>
        <v/>
      </c>
      <c r="U542" s="46">
        <f>(Dashboard!$C$16*tblHistory[[#This Row],[DTCR S]]+Dashboard!$C$17*tblHistory[[#This Row],[BBB S]]+Dashboard!$C$18*tblHistory[[#This Row],[CCC S]])/(Dashboard!$C$16+Dashboard!$C$17+Dashboard!$C$18)*100</f>
        <v/>
      </c>
      <c r="V542" s="46">
        <f>(Dashboard!$C$19*tblHistory[[#This Row],[BIZD S]]+Dashboard!$C$20*tblHistory[[#This Row],[BKLN S]]+Dashboard!$C$21*tblHistory[[#This Row],[HY S]])/(Dashboard!$C$19+Dashboard!$C$20+Dashboard!$C$21)*100</f>
        <v/>
      </c>
      <c r="W54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2" s="46">
        <f>IFERROR(--(tblHistory[[#This Row],[Score]]&gt;=50),0)</f>
        <v/>
      </c>
      <c r="Y542" s="46">
        <f>IFERROR(--AND(tblHistory[[#This Row],[Score]]&gt;=60,OR(AND(tblHistory[[#This Row],[BIZD S]]&gt;=0.8,tblHistory[[#This Row],[BKLN S]]&gt;=0.5),tblHistory[[#This Row],[CCC S]]&gt;=0.8)),0)</f>
        <v/>
      </c>
      <c r="Z542" s="46">
        <f>IFERROR(--AND(tblHistory[[#This Row],[Score]]&gt;=70,tblHistory[[#This Row],[SOX S]]&gt;=0.83,tblHistory[[#This Row],[AIQ S]]&gt;=0.8),0)</f>
        <v/>
      </c>
      <c r="AA54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3">
      <c r="A543" s="42" t="n">
        <v>45538</v>
      </c>
      <c r="B543" s="43" t="n">
        <v>18958.7402</v>
      </c>
      <c r="C543" s="43" t="n">
        <v>4759</v>
      </c>
      <c r="D543" s="43" t="n">
        <v>34.2518</v>
      </c>
      <c r="E543" s="43" t="n">
        <v>15.6291</v>
      </c>
      <c r="F543" s="44" t="n">
        <v>122</v>
      </c>
      <c r="G543" s="44" t="n">
        <v>965</v>
      </c>
      <c r="H543" s="43" t="n">
        <v>12.6655</v>
      </c>
      <c r="I543" s="43" t="n">
        <v>18.0819</v>
      </c>
      <c r="J543" s="44" t="n">
        <v>331</v>
      </c>
      <c r="K54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3" s="46">
        <f>(Dashboard!$C$13*tblHistory[[#This Row],[NDX S]]+Dashboard!$C$14*tblHistory[[#This Row],[SOX S]]+Dashboard!$C$15*tblHistory[[#This Row],[AIQ S]])/(Dashboard!$C$13+Dashboard!$C$14+Dashboard!$C$15)*100</f>
        <v/>
      </c>
      <c r="U543" s="46">
        <f>(Dashboard!$C$16*tblHistory[[#This Row],[DTCR S]]+Dashboard!$C$17*tblHistory[[#This Row],[BBB S]]+Dashboard!$C$18*tblHistory[[#This Row],[CCC S]])/(Dashboard!$C$16+Dashboard!$C$17+Dashboard!$C$18)*100</f>
        <v/>
      </c>
      <c r="V543" s="46">
        <f>(Dashboard!$C$19*tblHistory[[#This Row],[BIZD S]]+Dashboard!$C$20*tblHistory[[#This Row],[BKLN S]]+Dashboard!$C$21*tblHistory[[#This Row],[HY S]])/(Dashboard!$C$19+Dashboard!$C$20+Dashboard!$C$21)*100</f>
        <v/>
      </c>
      <c r="W54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3" s="46">
        <f>IFERROR(--(tblHistory[[#This Row],[Score]]&gt;=50),0)</f>
        <v/>
      </c>
      <c r="Y543" s="46">
        <f>IFERROR(--AND(tblHistory[[#This Row],[Score]]&gt;=60,OR(AND(tblHistory[[#This Row],[BIZD S]]&gt;=0.8,tblHistory[[#This Row],[BKLN S]]&gt;=0.5),tblHistory[[#This Row],[CCC S]]&gt;=0.8)),0)</f>
        <v/>
      </c>
      <c r="Z543" s="46">
        <f>IFERROR(--AND(tblHistory[[#This Row],[Score]]&gt;=70,tblHistory[[#This Row],[SOX S]]&gt;=0.83,tblHistory[[#This Row],[AIQ S]]&gt;=0.8),0)</f>
        <v/>
      </c>
      <c r="AA54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4">
      <c r="A544" s="42" t="n">
        <v>45534</v>
      </c>
      <c r="B544" s="43" t="n">
        <v>19574.6406</v>
      </c>
      <c r="C544" s="43" t="n">
        <v>5158.8198</v>
      </c>
      <c r="D544" s="43" t="n">
        <v>35.2695</v>
      </c>
      <c r="E544" s="43" t="n">
        <v>15.6389</v>
      </c>
      <c r="F544" s="44" t="n">
        <v>118</v>
      </c>
      <c r="G544" s="44" t="n">
        <v>937</v>
      </c>
      <c r="H544" s="43" t="n">
        <v>12.7352</v>
      </c>
      <c r="I544" s="43" t="n">
        <v>18.1249</v>
      </c>
      <c r="J544" s="44" t="n">
        <v>313</v>
      </c>
      <c r="K54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4" s="46">
        <f>(Dashboard!$C$13*tblHistory[[#This Row],[NDX S]]+Dashboard!$C$14*tblHistory[[#This Row],[SOX S]]+Dashboard!$C$15*tblHistory[[#This Row],[AIQ S]])/(Dashboard!$C$13+Dashboard!$C$14+Dashboard!$C$15)*100</f>
        <v/>
      </c>
      <c r="U544" s="46">
        <f>(Dashboard!$C$16*tblHistory[[#This Row],[DTCR S]]+Dashboard!$C$17*tblHistory[[#This Row],[BBB S]]+Dashboard!$C$18*tblHistory[[#This Row],[CCC S]])/(Dashboard!$C$16+Dashboard!$C$17+Dashboard!$C$18)*100</f>
        <v/>
      </c>
      <c r="V544" s="46">
        <f>(Dashboard!$C$19*tblHistory[[#This Row],[BIZD S]]+Dashboard!$C$20*tblHistory[[#This Row],[BKLN S]]+Dashboard!$C$21*tblHistory[[#This Row],[HY S]])/(Dashboard!$C$19+Dashboard!$C$20+Dashboard!$C$21)*100</f>
        <v/>
      </c>
      <c r="W54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4" s="46">
        <f>IFERROR(--(tblHistory[[#This Row],[Score]]&gt;=50),0)</f>
        <v/>
      </c>
      <c r="Y544" s="46">
        <f>IFERROR(--AND(tblHistory[[#This Row],[Score]]&gt;=60,OR(AND(tblHistory[[#This Row],[BIZD S]]&gt;=0.8,tblHistory[[#This Row],[BKLN S]]&gt;=0.5),tblHistory[[#This Row],[CCC S]]&gt;=0.8)),0)</f>
        <v/>
      </c>
      <c r="Z544" s="46">
        <f>IFERROR(--AND(tblHistory[[#This Row],[Score]]&gt;=70,tblHistory[[#This Row],[SOX S]]&gt;=0.83,tblHistory[[#This Row],[AIQ S]]&gt;=0.8),0)</f>
        <v/>
      </c>
      <c r="AA54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5">
      <c r="A545" s="42" t="n">
        <v>45533</v>
      </c>
      <c r="B545" s="43" t="n">
        <v>19325.4492</v>
      </c>
      <c r="C545" s="43" t="n">
        <v>5029.25</v>
      </c>
      <c r="D545" s="43" t="n">
        <v>34.8105</v>
      </c>
      <c r="E545" s="43" t="n">
        <v>15.5122</v>
      </c>
      <c r="F545" s="44" t="n">
        <v>119</v>
      </c>
      <c r="G545" s="44" t="n">
        <v>937</v>
      </c>
      <c r="H545" s="43" t="n">
        <v>12.65</v>
      </c>
      <c r="I545" s="43" t="n">
        <v>18.0991</v>
      </c>
      <c r="J545" s="44" t="n">
        <v>315</v>
      </c>
      <c r="K54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5" s="46">
        <f>(Dashboard!$C$13*tblHistory[[#This Row],[NDX S]]+Dashboard!$C$14*tblHistory[[#This Row],[SOX S]]+Dashboard!$C$15*tblHistory[[#This Row],[AIQ S]])/(Dashboard!$C$13+Dashboard!$C$14+Dashboard!$C$15)*100</f>
        <v/>
      </c>
      <c r="U545" s="46">
        <f>(Dashboard!$C$16*tblHistory[[#This Row],[DTCR S]]+Dashboard!$C$17*tblHistory[[#This Row],[BBB S]]+Dashboard!$C$18*tblHistory[[#This Row],[CCC S]])/(Dashboard!$C$16+Dashboard!$C$17+Dashboard!$C$18)*100</f>
        <v/>
      </c>
      <c r="V545" s="46">
        <f>(Dashboard!$C$19*tblHistory[[#This Row],[BIZD S]]+Dashboard!$C$20*tblHistory[[#This Row],[BKLN S]]+Dashboard!$C$21*tblHistory[[#This Row],[HY S]])/(Dashboard!$C$19+Dashboard!$C$20+Dashboard!$C$21)*100</f>
        <v/>
      </c>
      <c r="W54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5" s="46">
        <f>IFERROR(--(tblHistory[[#This Row],[Score]]&gt;=50),0)</f>
        <v/>
      </c>
      <c r="Y545" s="46">
        <f>IFERROR(--AND(tblHistory[[#This Row],[Score]]&gt;=60,OR(AND(tblHistory[[#This Row],[BIZD S]]&gt;=0.8,tblHistory[[#This Row],[BKLN S]]&gt;=0.5),tblHistory[[#This Row],[CCC S]]&gt;=0.8)),0)</f>
        <v/>
      </c>
      <c r="Z545" s="46">
        <f>IFERROR(--AND(tblHistory[[#This Row],[Score]]&gt;=70,tblHistory[[#This Row],[SOX S]]&gt;=0.83,tblHistory[[#This Row],[AIQ S]]&gt;=0.8),0)</f>
        <v/>
      </c>
      <c r="AA54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6">
      <c r="A546" s="42" t="n">
        <v>45532</v>
      </c>
      <c r="B546" s="43" t="n">
        <v>19350.7793</v>
      </c>
      <c r="C546" s="43" t="n">
        <v>5059.5601</v>
      </c>
      <c r="D546" s="43" t="n">
        <v>34.7207</v>
      </c>
      <c r="E546" s="43" t="n">
        <v>15.6097</v>
      </c>
      <c r="F546" s="44" t="n">
        <v>119</v>
      </c>
      <c r="G546" s="44" t="n">
        <v>944</v>
      </c>
      <c r="H546" s="43" t="n">
        <v>12.5725</v>
      </c>
      <c r="I546" s="43" t="n">
        <v>18.0732</v>
      </c>
      <c r="J546" s="44" t="n">
        <v>319</v>
      </c>
      <c r="K54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6" s="46">
        <f>(Dashboard!$C$13*tblHistory[[#This Row],[NDX S]]+Dashboard!$C$14*tblHistory[[#This Row],[SOX S]]+Dashboard!$C$15*tblHistory[[#This Row],[AIQ S]])/(Dashboard!$C$13+Dashboard!$C$14+Dashboard!$C$15)*100</f>
        <v/>
      </c>
      <c r="U546" s="46">
        <f>(Dashboard!$C$16*tblHistory[[#This Row],[DTCR S]]+Dashboard!$C$17*tblHistory[[#This Row],[BBB S]]+Dashboard!$C$18*tblHistory[[#This Row],[CCC S]])/(Dashboard!$C$16+Dashboard!$C$17+Dashboard!$C$18)*100</f>
        <v/>
      </c>
      <c r="V546" s="46">
        <f>(Dashboard!$C$19*tblHistory[[#This Row],[BIZD S]]+Dashboard!$C$20*tblHistory[[#This Row],[BKLN S]]+Dashboard!$C$21*tblHistory[[#This Row],[HY S]])/(Dashboard!$C$19+Dashboard!$C$20+Dashboard!$C$21)*100</f>
        <v/>
      </c>
      <c r="W54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6" s="46">
        <f>IFERROR(--(tblHistory[[#This Row],[Score]]&gt;=50),0)</f>
        <v/>
      </c>
      <c r="Y546" s="46">
        <f>IFERROR(--AND(tblHistory[[#This Row],[Score]]&gt;=60,OR(AND(tblHistory[[#This Row],[BIZD S]]&gt;=0.8,tblHistory[[#This Row],[BKLN S]]&gt;=0.5),tblHistory[[#This Row],[CCC S]]&gt;=0.8)),0)</f>
        <v/>
      </c>
      <c r="Z546" s="46">
        <f>IFERROR(--AND(tblHistory[[#This Row],[Score]]&gt;=70,tblHistory[[#This Row],[SOX S]]&gt;=0.83,tblHistory[[#This Row],[AIQ S]]&gt;=0.8),0)</f>
        <v/>
      </c>
      <c r="AA54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7">
      <c r="A547" s="42" t="n">
        <v>45531</v>
      </c>
      <c r="B547" s="43" t="n">
        <v>19581.5195</v>
      </c>
      <c r="C547" s="43" t="n">
        <v>5153.6299</v>
      </c>
      <c r="D547" s="43" t="n">
        <v>35.1697</v>
      </c>
      <c r="E547" s="43" t="n">
        <v>15.7168</v>
      </c>
      <c r="F547" s="44" t="n">
        <v>119</v>
      </c>
      <c r="G547" s="44" t="n">
        <v>943</v>
      </c>
      <c r="H547" s="43" t="n">
        <v>12.65</v>
      </c>
      <c r="I547" s="43" t="n">
        <v>18.0216</v>
      </c>
      <c r="J547" s="44" t="n">
        <v>317</v>
      </c>
      <c r="K54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7" s="46">
        <f>(Dashboard!$C$13*tblHistory[[#This Row],[NDX S]]+Dashboard!$C$14*tblHistory[[#This Row],[SOX S]]+Dashboard!$C$15*tblHistory[[#This Row],[AIQ S]])/(Dashboard!$C$13+Dashboard!$C$14+Dashboard!$C$15)*100</f>
        <v/>
      </c>
      <c r="U547" s="46">
        <f>(Dashboard!$C$16*tblHistory[[#This Row],[DTCR S]]+Dashboard!$C$17*tblHistory[[#This Row],[BBB S]]+Dashboard!$C$18*tblHistory[[#This Row],[CCC S]])/(Dashboard!$C$16+Dashboard!$C$17+Dashboard!$C$18)*100</f>
        <v/>
      </c>
      <c r="V547" s="46">
        <f>(Dashboard!$C$19*tblHistory[[#This Row],[BIZD S]]+Dashboard!$C$20*tblHistory[[#This Row],[BKLN S]]+Dashboard!$C$21*tblHistory[[#This Row],[HY S]])/(Dashboard!$C$19+Dashboard!$C$20+Dashboard!$C$21)*100</f>
        <v/>
      </c>
      <c r="W54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7" s="46">
        <f>IFERROR(--(tblHistory[[#This Row],[Score]]&gt;=50),0)</f>
        <v/>
      </c>
      <c r="Y547" s="46">
        <f>IFERROR(--AND(tblHistory[[#This Row],[Score]]&gt;=60,OR(AND(tblHistory[[#This Row],[BIZD S]]&gt;=0.8,tblHistory[[#This Row],[BKLN S]]&gt;=0.5),tblHistory[[#This Row],[CCC S]]&gt;=0.8)),0)</f>
        <v/>
      </c>
      <c r="Z547" s="46">
        <f>IFERROR(--AND(tblHistory[[#This Row],[Score]]&gt;=70,tblHistory[[#This Row],[SOX S]]&gt;=0.83,tblHistory[[#This Row],[AIQ S]]&gt;=0.8),0)</f>
        <v/>
      </c>
      <c r="AA54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8">
      <c r="A548" s="42" t="n">
        <v>45530</v>
      </c>
      <c r="B548" s="43" t="n">
        <v>19516.4395</v>
      </c>
      <c r="C548" s="43" t="n">
        <v>5097.3501</v>
      </c>
      <c r="D548" s="43" t="n">
        <v>35.1098</v>
      </c>
      <c r="E548" s="43" t="n">
        <v>15.7948</v>
      </c>
      <c r="F548" s="44" t="n">
        <v>119</v>
      </c>
      <c r="G548" s="44" t="n">
        <v>939</v>
      </c>
      <c r="H548" s="43" t="n">
        <v>12.588</v>
      </c>
      <c r="I548" s="43" t="n">
        <v>18.013</v>
      </c>
      <c r="J548" s="44" t="n">
        <v>315</v>
      </c>
      <c r="K54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8" s="46">
        <f>(Dashboard!$C$13*tblHistory[[#This Row],[NDX S]]+Dashboard!$C$14*tblHistory[[#This Row],[SOX S]]+Dashboard!$C$15*tblHistory[[#This Row],[AIQ S]])/(Dashboard!$C$13+Dashboard!$C$14+Dashboard!$C$15)*100</f>
        <v/>
      </c>
      <c r="U548" s="46">
        <f>(Dashboard!$C$16*tblHistory[[#This Row],[DTCR S]]+Dashboard!$C$17*tblHistory[[#This Row],[BBB S]]+Dashboard!$C$18*tblHistory[[#This Row],[CCC S]])/(Dashboard!$C$16+Dashboard!$C$17+Dashboard!$C$18)*100</f>
        <v/>
      </c>
      <c r="V548" s="46">
        <f>(Dashboard!$C$19*tblHistory[[#This Row],[BIZD S]]+Dashboard!$C$20*tblHistory[[#This Row],[BKLN S]]+Dashboard!$C$21*tblHistory[[#This Row],[HY S]])/(Dashboard!$C$19+Dashboard!$C$20+Dashboard!$C$21)*100</f>
        <v/>
      </c>
      <c r="W54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8" s="46">
        <f>IFERROR(--(tblHistory[[#This Row],[Score]]&gt;=50),0)</f>
        <v/>
      </c>
      <c r="Y548" s="46">
        <f>IFERROR(--AND(tblHistory[[#This Row],[Score]]&gt;=60,OR(AND(tblHistory[[#This Row],[BIZD S]]&gt;=0.8,tblHistory[[#This Row],[BKLN S]]&gt;=0.5),tblHistory[[#This Row],[CCC S]]&gt;=0.8)),0)</f>
        <v/>
      </c>
      <c r="Z548" s="46">
        <f>IFERROR(--AND(tblHistory[[#This Row],[Score]]&gt;=70,tblHistory[[#This Row],[SOX S]]&gt;=0.83,tblHistory[[#This Row],[AIQ S]]&gt;=0.8),0)</f>
        <v/>
      </c>
      <c r="AA54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49">
      <c r="A549" s="42" t="n">
        <v>45527</v>
      </c>
      <c r="B549" s="43" t="n">
        <v>19720.8691</v>
      </c>
      <c r="C549" s="43" t="n">
        <v>5228.6499</v>
      </c>
      <c r="D549" s="43" t="n">
        <v>35.449</v>
      </c>
      <c r="E549" s="43" t="n">
        <v>15.8338</v>
      </c>
      <c r="F549" s="44" t="n">
        <v>120</v>
      </c>
      <c r="G549" s="44" t="n">
        <v>945</v>
      </c>
      <c r="H549" s="43" t="n">
        <v>12.588</v>
      </c>
      <c r="I549" s="43" t="n">
        <v>18.0044</v>
      </c>
      <c r="J549" s="44" t="n">
        <v>319</v>
      </c>
      <c r="K54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4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4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4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4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4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4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4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4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49" s="46">
        <f>(Dashboard!$C$13*tblHistory[[#This Row],[NDX S]]+Dashboard!$C$14*tblHistory[[#This Row],[SOX S]]+Dashboard!$C$15*tblHistory[[#This Row],[AIQ S]])/(Dashboard!$C$13+Dashboard!$C$14+Dashboard!$C$15)*100</f>
        <v/>
      </c>
      <c r="U549" s="46">
        <f>(Dashboard!$C$16*tblHistory[[#This Row],[DTCR S]]+Dashboard!$C$17*tblHistory[[#This Row],[BBB S]]+Dashboard!$C$18*tblHistory[[#This Row],[CCC S]])/(Dashboard!$C$16+Dashboard!$C$17+Dashboard!$C$18)*100</f>
        <v/>
      </c>
      <c r="V549" s="46">
        <f>(Dashboard!$C$19*tblHistory[[#This Row],[BIZD S]]+Dashboard!$C$20*tblHistory[[#This Row],[BKLN S]]+Dashboard!$C$21*tblHistory[[#This Row],[HY S]])/(Dashboard!$C$19+Dashboard!$C$20+Dashboard!$C$21)*100</f>
        <v/>
      </c>
      <c r="W54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49" s="46">
        <f>IFERROR(--(tblHistory[[#This Row],[Score]]&gt;=50),0)</f>
        <v/>
      </c>
      <c r="Y549" s="46">
        <f>IFERROR(--AND(tblHistory[[#This Row],[Score]]&gt;=60,OR(AND(tblHistory[[#This Row],[BIZD S]]&gt;=0.8,tblHistory[[#This Row],[BKLN S]]&gt;=0.5),tblHistory[[#This Row],[CCC S]]&gt;=0.8)),0)</f>
        <v/>
      </c>
      <c r="Z549" s="46">
        <f>IFERROR(--AND(tblHistory[[#This Row],[Score]]&gt;=70,tblHistory[[#This Row],[SOX S]]&gt;=0.83,tblHistory[[#This Row],[AIQ S]]&gt;=0.8),0)</f>
        <v/>
      </c>
      <c r="AA54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4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4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4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4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0">
      <c r="A550" s="42" t="n">
        <v>45526</v>
      </c>
      <c r="B550" s="43" t="n">
        <v>19491.8398</v>
      </c>
      <c r="C550" s="43" t="n">
        <v>5086.8999</v>
      </c>
      <c r="D550" s="43" t="n">
        <v>34.9402</v>
      </c>
      <c r="E550" s="43" t="n">
        <v>15.444</v>
      </c>
      <c r="F550" s="44" t="n">
        <v>121</v>
      </c>
      <c r="G550" s="44" t="n">
        <v>952</v>
      </c>
      <c r="H550" s="43" t="n">
        <v>12.5261</v>
      </c>
      <c r="I550" s="43" t="n">
        <v>17.97</v>
      </c>
      <c r="J550" s="44" t="n">
        <v>321</v>
      </c>
      <c r="K55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0" s="46">
        <f>(Dashboard!$C$13*tblHistory[[#This Row],[NDX S]]+Dashboard!$C$14*tblHistory[[#This Row],[SOX S]]+Dashboard!$C$15*tblHistory[[#This Row],[AIQ S]])/(Dashboard!$C$13+Dashboard!$C$14+Dashboard!$C$15)*100</f>
        <v/>
      </c>
      <c r="U550" s="46">
        <f>(Dashboard!$C$16*tblHistory[[#This Row],[DTCR S]]+Dashboard!$C$17*tblHistory[[#This Row],[BBB S]]+Dashboard!$C$18*tblHistory[[#This Row],[CCC S]])/(Dashboard!$C$16+Dashboard!$C$17+Dashboard!$C$18)*100</f>
        <v/>
      </c>
      <c r="V550" s="46">
        <f>(Dashboard!$C$19*tblHistory[[#This Row],[BIZD S]]+Dashboard!$C$20*tblHistory[[#This Row],[BKLN S]]+Dashboard!$C$21*tblHistory[[#This Row],[HY S]])/(Dashboard!$C$19+Dashboard!$C$20+Dashboard!$C$21)*100</f>
        <v/>
      </c>
      <c r="W55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0" s="46">
        <f>IFERROR(--(tblHistory[[#This Row],[Score]]&gt;=50),0)</f>
        <v/>
      </c>
      <c r="Y550" s="46">
        <f>IFERROR(--AND(tblHistory[[#This Row],[Score]]&gt;=60,OR(AND(tblHistory[[#This Row],[BIZD S]]&gt;=0.8,tblHistory[[#This Row],[BKLN S]]&gt;=0.5),tblHistory[[#This Row],[CCC S]]&gt;=0.8)),0)</f>
        <v/>
      </c>
      <c r="Z550" s="46">
        <f>IFERROR(--AND(tblHistory[[#This Row],[Score]]&gt;=70,tblHistory[[#This Row],[SOX S]]&gt;=0.83,tblHistory[[#This Row],[AIQ S]]&gt;=0.8),0)</f>
        <v/>
      </c>
      <c r="AA55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1">
      <c r="A551" s="42" t="n">
        <v>45525</v>
      </c>
      <c r="B551" s="43" t="n">
        <v>19824.8398</v>
      </c>
      <c r="C551" s="43" t="n">
        <v>5267.9302</v>
      </c>
      <c r="D551" s="43" t="n">
        <v>35.5688</v>
      </c>
      <c r="E551" s="43" t="n">
        <v>15.483</v>
      </c>
      <c r="F551" s="44" t="n">
        <v>122</v>
      </c>
      <c r="G551" s="44" t="n">
        <v>961</v>
      </c>
      <c r="H551" s="43" t="n">
        <v>12.5183</v>
      </c>
      <c r="I551" s="43" t="n">
        <v>17.9872</v>
      </c>
      <c r="J551" s="44" t="n">
        <v>327</v>
      </c>
      <c r="K55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1" s="46">
        <f>(Dashboard!$C$13*tblHistory[[#This Row],[NDX S]]+Dashboard!$C$14*tblHistory[[#This Row],[SOX S]]+Dashboard!$C$15*tblHistory[[#This Row],[AIQ S]])/(Dashboard!$C$13+Dashboard!$C$14+Dashboard!$C$15)*100</f>
        <v/>
      </c>
      <c r="U551" s="46">
        <f>(Dashboard!$C$16*tblHistory[[#This Row],[DTCR S]]+Dashboard!$C$17*tblHistory[[#This Row],[BBB S]]+Dashboard!$C$18*tblHistory[[#This Row],[CCC S]])/(Dashboard!$C$16+Dashboard!$C$17+Dashboard!$C$18)*100</f>
        <v/>
      </c>
      <c r="V551" s="46">
        <f>(Dashboard!$C$19*tblHistory[[#This Row],[BIZD S]]+Dashboard!$C$20*tblHistory[[#This Row],[BKLN S]]+Dashboard!$C$21*tblHistory[[#This Row],[HY S]])/(Dashboard!$C$19+Dashboard!$C$20+Dashboard!$C$21)*100</f>
        <v/>
      </c>
      <c r="W55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1" s="46">
        <f>IFERROR(--(tblHistory[[#This Row],[Score]]&gt;=50),0)</f>
        <v/>
      </c>
      <c r="Y551" s="46">
        <f>IFERROR(--AND(tblHistory[[#This Row],[Score]]&gt;=60,OR(AND(tblHistory[[#This Row],[BIZD S]]&gt;=0.8,tblHistory[[#This Row],[BKLN S]]&gt;=0.5),tblHistory[[#This Row],[CCC S]]&gt;=0.8)),0)</f>
        <v/>
      </c>
      <c r="Z551" s="46">
        <f>IFERROR(--AND(tblHistory[[#This Row],[Score]]&gt;=70,tblHistory[[#This Row],[SOX S]]&gt;=0.83,tblHistory[[#This Row],[AIQ S]]&gt;=0.8),0)</f>
        <v/>
      </c>
      <c r="AA55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2">
      <c r="A552" s="42" t="n">
        <v>45524</v>
      </c>
      <c r="B552" s="43" t="n">
        <v>19719.8203</v>
      </c>
      <c r="C552" s="43" t="n">
        <v>5196.2998</v>
      </c>
      <c r="D552" s="43" t="n">
        <v>35.3493</v>
      </c>
      <c r="E552" s="43" t="n">
        <v>15.2881</v>
      </c>
      <c r="F552" s="44" t="n">
        <v>122</v>
      </c>
      <c r="G552" s="44" t="n">
        <v>959</v>
      </c>
      <c r="H552" s="43" t="n">
        <v>12.4408</v>
      </c>
      <c r="I552" s="43" t="n">
        <v>17.97</v>
      </c>
      <c r="J552" s="44" t="n">
        <v>325</v>
      </c>
      <c r="K55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2" s="46">
        <f>(Dashboard!$C$13*tblHistory[[#This Row],[NDX S]]+Dashboard!$C$14*tblHistory[[#This Row],[SOX S]]+Dashboard!$C$15*tblHistory[[#This Row],[AIQ S]])/(Dashboard!$C$13+Dashboard!$C$14+Dashboard!$C$15)*100</f>
        <v/>
      </c>
      <c r="U552" s="46">
        <f>(Dashboard!$C$16*tblHistory[[#This Row],[DTCR S]]+Dashboard!$C$17*tblHistory[[#This Row],[BBB S]]+Dashboard!$C$18*tblHistory[[#This Row],[CCC S]])/(Dashboard!$C$16+Dashboard!$C$17+Dashboard!$C$18)*100</f>
        <v/>
      </c>
      <c r="V552" s="46">
        <f>(Dashboard!$C$19*tblHistory[[#This Row],[BIZD S]]+Dashboard!$C$20*tblHistory[[#This Row],[BKLN S]]+Dashboard!$C$21*tblHistory[[#This Row],[HY S]])/(Dashboard!$C$19+Dashboard!$C$20+Dashboard!$C$21)*100</f>
        <v/>
      </c>
      <c r="W55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2" s="46">
        <f>IFERROR(--(tblHistory[[#This Row],[Score]]&gt;=50),0)</f>
        <v/>
      </c>
      <c r="Y552" s="46">
        <f>IFERROR(--AND(tblHistory[[#This Row],[Score]]&gt;=60,OR(AND(tblHistory[[#This Row],[BIZD S]]&gt;=0.8,tblHistory[[#This Row],[BKLN S]]&gt;=0.5),tblHistory[[#This Row],[CCC S]]&gt;=0.8)),0)</f>
        <v/>
      </c>
      <c r="Z552" s="46">
        <f>IFERROR(--AND(tblHistory[[#This Row],[Score]]&gt;=70,tblHistory[[#This Row],[SOX S]]&gt;=0.83,tblHistory[[#This Row],[AIQ S]]&gt;=0.8),0)</f>
        <v/>
      </c>
      <c r="AA55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3">
      <c r="A553" s="42" t="n">
        <v>45523</v>
      </c>
      <c r="B553" s="43" t="n">
        <v>19766.4902</v>
      </c>
      <c r="C553" s="43" t="n">
        <v>5266.5698</v>
      </c>
      <c r="D553" s="43" t="n">
        <v>35.4989</v>
      </c>
      <c r="E553" s="43" t="n">
        <v>15.2998</v>
      </c>
      <c r="F553" s="44" t="n">
        <v>121</v>
      </c>
      <c r="G553" s="44" t="n">
        <v>952</v>
      </c>
      <c r="H553" s="43" t="n">
        <v>12.5106</v>
      </c>
      <c r="I553" s="43" t="n">
        <v>17.97</v>
      </c>
      <c r="J553" s="44" t="n">
        <v>321</v>
      </c>
      <c r="K55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3" s="46">
        <f>(Dashboard!$C$13*tblHistory[[#This Row],[NDX S]]+Dashboard!$C$14*tblHistory[[#This Row],[SOX S]]+Dashboard!$C$15*tblHistory[[#This Row],[AIQ S]])/(Dashboard!$C$13+Dashboard!$C$14+Dashboard!$C$15)*100</f>
        <v/>
      </c>
      <c r="U553" s="46">
        <f>(Dashboard!$C$16*tblHistory[[#This Row],[DTCR S]]+Dashboard!$C$17*tblHistory[[#This Row],[BBB S]]+Dashboard!$C$18*tblHistory[[#This Row],[CCC S]])/(Dashboard!$C$16+Dashboard!$C$17+Dashboard!$C$18)*100</f>
        <v/>
      </c>
      <c r="V553" s="46">
        <f>(Dashboard!$C$19*tblHistory[[#This Row],[BIZD S]]+Dashboard!$C$20*tblHistory[[#This Row],[BKLN S]]+Dashboard!$C$21*tblHistory[[#This Row],[HY S]])/(Dashboard!$C$19+Dashboard!$C$20+Dashboard!$C$21)*100</f>
        <v/>
      </c>
      <c r="W55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3" s="46">
        <f>IFERROR(--(tblHistory[[#This Row],[Score]]&gt;=50),0)</f>
        <v/>
      </c>
      <c r="Y553" s="46">
        <f>IFERROR(--AND(tblHistory[[#This Row],[Score]]&gt;=60,OR(AND(tblHistory[[#This Row],[BIZD S]]&gt;=0.8,tblHistory[[#This Row],[BKLN S]]&gt;=0.5),tblHistory[[#This Row],[CCC S]]&gt;=0.8)),0)</f>
        <v/>
      </c>
      <c r="Z553" s="46">
        <f>IFERROR(--AND(tblHistory[[#This Row],[Score]]&gt;=70,tblHistory[[#This Row],[SOX S]]&gt;=0.83,tblHistory[[#This Row],[AIQ S]]&gt;=0.8),0)</f>
        <v/>
      </c>
      <c r="AA55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4">
      <c r="A554" s="42" t="n">
        <v>45520</v>
      </c>
      <c r="B554" s="43" t="n">
        <v>19508.5195</v>
      </c>
      <c r="C554" s="43" t="n">
        <v>5170.25</v>
      </c>
      <c r="D554" s="43" t="n">
        <v>35.0998</v>
      </c>
      <c r="E554" s="43" t="n">
        <v>15.1215</v>
      </c>
      <c r="F554" s="44" t="n">
        <v>121</v>
      </c>
      <c r="G554" s="44" t="n">
        <v>963</v>
      </c>
      <c r="H554" s="43" t="n">
        <v>12.4563</v>
      </c>
      <c r="I554" s="43" t="n">
        <v>17.9674</v>
      </c>
      <c r="J554" s="44" t="n">
        <v>329</v>
      </c>
      <c r="K55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4" s="46">
        <f>(Dashboard!$C$13*tblHistory[[#This Row],[NDX S]]+Dashboard!$C$14*tblHistory[[#This Row],[SOX S]]+Dashboard!$C$15*tblHistory[[#This Row],[AIQ S]])/(Dashboard!$C$13+Dashboard!$C$14+Dashboard!$C$15)*100</f>
        <v/>
      </c>
      <c r="U554" s="46">
        <f>(Dashboard!$C$16*tblHistory[[#This Row],[DTCR S]]+Dashboard!$C$17*tblHistory[[#This Row],[BBB S]]+Dashboard!$C$18*tblHistory[[#This Row],[CCC S]])/(Dashboard!$C$16+Dashboard!$C$17+Dashboard!$C$18)*100</f>
        <v/>
      </c>
      <c r="V554" s="46">
        <f>(Dashboard!$C$19*tblHistory[[#This Row],[BIZD S]]+Dashboard!$C$20*tblHistory[[#This Row],[BKLN S]]+Dashboard!$C$21*tblHistory[[#This Row],[HY S]])/(Dashboard!$C$19+Dashboard!$C$20+Dashboard!$C$21)*100</f>
        <v/>
      </c>
      <c r="W55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4" s="46">
        <f>IFERROR(--(tblHistory[[#This Row],[Score]]&gt;=50),0)</f>
        <v/>
      </c>
      <c r="Y554" s="46">
        <f>IFERROR(--AND(tblHistory[[#This Row],[Score]]&gt;=60,OR(AND(tblHistory[[#This Row],[BIZD S]]&gt;=0.8,tblHistory[[#This Row],[BKLN S]]&gt;=0.5),tblHistory[[#This Row],[CCC S]]&gt;=0.8)),0)</f>
        <v/>
      </c>
      <c r="Z554" s="46">
        <f>IFERROR(--AND(tblHistory[[#This Row],[Score]]&gt;=70,tblHistory[[#This Row],[SOX S]]&gt;=0.83,tblHistory[[#This Row],[AIQ S]]&gt;=0.8),0)</f>
        <v/>
      </c>
      <c r="AA55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5">
      <c r="A555" s="42" t="n">
        <v>45519</v>
      </c>
      <c r="B555" s="43" t="n">
        <v>19490.1504</v>
      </c>
      <c r="C555" s="43" t="n">
        <v>5173.3799</v>
      </c>
      <c r="D555" s="43" t="n">
        <v>34.8005</v>
      </c>
      <c r="E555" s="43" t="n">
        <v>15.0737</v>
      </c>
      <c r="F555" s="44" t="n">
        <v>122</v>
      </c>
      <c r="G555" s="44" t="n">
        <v>966</v>
      </c>
      <c r="H555" s="43" t="n">
        <v>12.4176</v>
      </c>
      <c r="I555" s="43" t="n">
        <v>17.9504</v>
      </c>
      <c r="J555" s="44" t="n">
        <v>331</v>
      </c>
      <c r="K55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5" s="46">
        <f>(Dashboard!$C$13*tblHistory[[#This Row],[NDX S]]+Dashboard!$C$14*tblHistory[[#This Row],[SOX S]]+Dashboard!$C$15*tblHistory[[#This Row],[AIQ S]])/(Dashboard!$C$13+Dashboard!$C$14+Dashboard!$C$15)*100</f>
        <v/>
      </c>
      <c r="U555" s="46">
        <f>(Dashboard!$C$16*tblHistory[[#This Row],[DTCR S]]+Dashboard!$C$17*tblHistory[[#This Row],[BBB S]]+Dashboard!$C$18*tblHistory[[#This Row],[CCC S]])/(Dashboard!$C$16+Dashboard!$C$17+Dashboard!$C$18)*100</f>
        <v/>
      </c>
      <c r="V555" s="46">
        <f>(Dashboard!$C$19*tblHistory[[#This Row],[BIZD S]]+Dashboard!$C$20*tblHistory[[#This Row],[BKLN S]]+Dashboard!$C$21*tblHistory[[#This Row],[HY S]])/(Dashboard!$C$19+Dashboard!$C$20+Dashboard!$C$21)*100</f>
        <v/>
      </c>
      <c r="W55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5" s="46">
        <f>IFERROR(--(tblHistory[[#This Row],[Score]]&gt;=50),0)</f>
        <v/>
      </c>
      <c r="Y555" s="46">
        <f>IFERROR(--AND(tblHistory[[#This Row],[Score]]&gt;=60,OR(AND(tblHistory[[#This Row],[BIZD S]]&gt;=0.8,tblHistory[[#This Row],[BKLN S]]&gt;=0.5),tblHistory[[#This Row],[CCC S]]&gt;=0.8)),0)</f>
        <v/>
      </c>
      <c r="Z555" s="46">
        <f>IFERROR(--AND(tblHistory[[#This Row],[Score]]&gt;=70,tblHistory[[#This Row],[SOX S]]&gt;=0.83,tblHistory[[#This Row],[AIQ S]]&gt;=0.8),0)</f>
        <v/>
      </c>
      <c r="AA55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6">
      <c r="A556" s="42" t="n">
        <v>45518</v>
      </c>
      <c r="B556" s="43" t="n">
        <v>19022.6797</v>
      </c>
      <c r="C556" s="43" t="n">
        <v>4933.3501</v>
      </c>
      <c r="D556" s="43" t="n">
        <v>34.0123</v>
      </c>
      <c r="E556" s="43" t="n">
        <v>15.0143</v>
      </c>
      <c r="F556" s="44" t="n">
        <v>126</v>
      </c>
      <c r="G556" s="44" t="n">
        <v>969</v>
      </c>
      <c r="H556" s="43" t="n">
        <v>12.2782</v>
      </c>
      <c r="I556" s="43" t="n">
        <v>17.9077</v>
      </c>
      <c r="J556" s="44" t="n">
        <v>346</v>
      </c>
      <c r="K55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6" s="46">
        <f>(Dashboard!$C$13*tblHistory[[#This Row],[NDX S]]+Dashboard!$C$14*tblHistory[[#This Row],[SOX S]]+Dashboard!$C$15*tblHistory[[#This Row],[AIQ S]])/(Dashboard!$C$13+Dashboard!$C$14+Dashboard!$C$15)*100</f>
        <v/>
      </c>
      <c r="U556" s="46">
        <f>(Dashboard!$C$16*tblHistory[[#This Row],[DTCR S]]+Dashboard!$C$17*tblHistory[[#This Row],[BBB S]]+Dashboard!$C$18*tblHistory[[#This Row],[CCC S]])/(Dashboard!$C$16+Dashboard!$C$17+Dashboard!$C$18)*100</f>
        <v/>
      </c>
      <c r="V556" s="46">
        <f>(Dashboard!$C$19*tblHistory[[#This Row],[BIZD S]]+Dashboard!$C$20*tblHistory[[#This Row],[BKLN S]]+Dashboard!$C$21*tblHistory[[#This Row],[HY S]])/(Dashboard!$C$19+Dashboard!$C$20+Dashboard!$C$21)*100</f>
        <v/>
      </c>
      <c r="W55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6" s="46">
        <f>IFERROR(--(tblHistory[[#This Row],[Score]]&gt;=50),0)</f>
        <v/>
      </c>
      <c r="Y556" s="46">
        <f>IFERROR(--AND(tblHistory[[#This Row],[Score]]&gt;=60,OR(AND(tblHistory[[#This Row],[BIZD S]]&gt;=0.8,tblHistory[[#This Row],[BKLN S]]&gt;=0.5),tblHistory[[#This Row],[CCC S]]&gt;=0.8)),0)</f>
        <v/>
      </c>
      <c r="Z556" s="46">
        <f>IFERROR(--AND(tblHistory[[#This Row],[Score]]&gt;=70,tblHistory[[#This Row],[SOX S]]&gt;=0.83,tblHistory[[#This Row],[AIQ S]]&gt;=0.8),0)</f>
        <v/>
      </c>
      <c r="AA55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7">
      <c r="A557" s="42" t="n">
        <v>45517</v>
      </c>
      <c r="B557" s="43" t="n">
        <v>19006.4297</v>
      </c>
      <c r="C557" s="43" t="n">
        <v>4942.3101</v>
      </c>
      <c r="D557" s="43" t="n">
        <v>33.9525</v>
      </c>
      <c r="E557" s="43" t="n">
        <v>15.0055</v>
      </c>
      <c r="F557" s="44" t="n">
        <v>128</v>
      </c>
      <c r="G557" s="44" t="n">
        <v>984</v>
      </c>
      <c r="H557" s="43" t="n">
        <v>12.2394</v>
      </c>
      <c r="I557" s="43" t="n">
        <v>17.9077</v>
      </c>
      <c r="J557" s="44" t="n">
        <v>354</v>
      </c>
      <c r="K55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7" s="46">
        <f>(Dashboard!$C$13*tblHistory[[#This Row],[NDX S]]+Dashboard!$C$14*tblHistory[[#This Row],[SOX S]]+Dashboard!$C$15*tblHistory[[#This Row],[AIQ S]])/(Dashboard!$C$13+Dashboard!$C$14+Dashboard!$C$15)*100</f>
        <v/>
      </c>
      <c r="U557" s="46">
        <f>(Dashboard!$C$16*tblHistory[[#This Row],[DTCR S]]+Dashboard!$C$17*tblHistory[[#This Row],[BBB S]]+Dashboard!$C$18*tblHistory[[#This Row],[CCC S]])/(Dashboard!$C$16+Dashboard!$C$17+Dashboard!$C$18)*100</f>
        <v/>
      </c>
      <c r="V557" s="46">
        <f>(Dashboard!$C$19*tblHistory[[#This Row],[BIZD S]]+Dashboard!$C$20*tblHistory[[#This Row],[BKLN S]]+Dashboard!$C$21*tblHistory[[#This Row],[HY S]])/(Dashboard!$C$19+Dashboard!$C$20+Dashboard!$C$21)*100</f>
        <v/>
      </c>
      <c r="W55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7" s="46">
        <f>IFERROR(--(tblHistory[[#This Row],[Score]]&gt;=50),0)</f>
        <v/>
      </c>
      <c r="Y557" s="46">
        <f>IFERROR(--AND(tblHistory[[#This Row],[Score]]&gt;=60,OR(AND(tblHistory[[#This Row],[BIZD S]]&gt;=0.8,tblHistory[[#This Row],[BKLN S]]&gt;=0.5),tblHistory[[#This Row],[CCC S]]&gt;=0.8)),0)</f>
        <v/>
      </c>
      <c r="Z557" s="46">
        <f>IFERROR(--AND(tblHistory[[#This Row],[Score]]&gt;=70,tblHistory[[#This Row],[SOX S]]&gt;=0.83,tblHistory[[#This Row],[AIQ S]]&gt;=0.8),0)</f>
        <v/>
      </c>
      <c r="AA55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8">
      <c r="A558" s="42" t="n">
        <v>45516</v>
      </c>
      <c r="B558" s="43" t="n">
        <v>18542.0293</v>
      </c>
      <c r="C558" s="43" t="n">
        <v>4743.8198</v>
      </c>
      <c r="D558" s="43" t="n">
        <v>33.264</v>
      </c>
      <c r="E558" s="43" t="n">
        <v>14.7502</v>
      </c>
      <c r="F558" s="44" t="n">
        <v>129</v>
      </c>
      <c r="G558" s="44" t="n">
        <v>980</v>
      </c>
      <c r="H558" s="43" t="n">
        <v>12.2239</v>
      </c>
      <c r="I558" s="43" t="n">
        <v>17.8992</v>
      </c>
      <c r="J558" s="44" t="n">
        <v>352</v>
      </c>
      <c r="K55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8" s="46">
        <f>(Dashboard!$C$13*tblHistory[[#This Row],[NDX S]]+Dashboard!$C$14*tblHistory[[#This Row],[SOX S]]+Dashboard!$C$15*tblHistory[[#This Row],[AIQ S]])/(Dashboard!$C$13+Dashboard!$C$14+Dashboard!$C$15)*100</f>
        <v/>
      </c>
      <c r="U558" s="46">
        <f>(Dashboard!$C$16*tblHistory[[#This Row],[DTCR S]]+Dashboard!$C$17*tblHistory[[#This Row],[BBB S]]+Dashboard!$C$18*tblHistory[[#This Row],[CCC S]])/(Dashboard!$C$16+Dashboard!$C$17+Dashboard!$C$18)*100</f>
        <v/>
      </c>
      <c r="V558" s="46">
        <f>(Dashboard!$C$19*tblHistory[[#This Row],[BIZD S]]+Dashboard!$C$20*tblHistory[[#This Row],[BKLN S]]+Dashboard!$C$21*tblHistory[[#This Row],[HY S]])/(Dashboard!$C$19+Dashboard!$C$20+Dashboard!$C$21)*100</f>
        <v/>
      </c>
      <c r="W55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8" s="46">
        <f>IFERROR(--(tblHistory[[#This Row],[Score]]&gt;=50),0)</f>
        <v/>
      </c>
      <c r="Y558" s="46">
        <f>IFERROR(--AND(tblHistory[[#This Row],[Score]]&gt;=60,OR(AND(tblHistory[[#This Row],[BIZD S]]&gt;=0.8,tblHistory[[#This Row],[BKLN S]]&gt;=0.5),tblHistory[[#This Row],[CCC S]]&gt;=0.8)),0)</f>
        <v/>
      </c>
      <c r="Z558" s="46">
        <f>IFERROR(--AND(tblHistory[[#This Row],[Score]]&gt;=70,tblHistory[[#This Row],[SOX S]]&gt;=0.83,tblHistory[[#This Row],[AIQ S]]&gt;=0.8),0)</f>
        <v/>
      </c>
      <c r="AA55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59">
      <c r="A559" s="42" t="n">
        <v>45513</v>
      </c>
      <c r="B559" s="43" t="n">
        <v>18513.0996</v>
      </c>
      <c r="C559" s="43" t="n">
        <v>4709.4502</v>
      </c>
      <c r="D559" s="43" t="n">
        <v>33.274</v>
      </c>
      <c r="E559" s="43" t="n">
        <v>14.7473</v>
      </c>
      <c r="F559" s="44" t="n">
        <v>128</v>
      </c>
      <c r="G559" s="44" t="n">
        <v>983</v>
      </c>
      <c r="H559" s="43" t="n">
        <v>12.2472</v>
      </c>
      <c r="I559" s="43" t="n">
        <v>17.8906</v>
      </c>
      <c r="J559" s="44" t="n">
        <v>349</v>
      </c>
      <c r="K55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5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5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5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5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5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5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5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5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59" s="46">
        <f>(Dashboard!$C$13*tblHistory[[#This Row],[NDX S]]+Dashboard!$C$14*tblHistory[[#This Row],[SOX S]]+Dashboard!$C$15*tblHistory[[#This Row],[AIQ S]])/(Dashboard!$C$13+Dashboard!$C$14+Dashboard!$C$15)*100</f>
        <v/>
      </c>
      <c r="U559" s="46">
        <f>(Dashboard!$C$16*tblHistory[[#This Row],[DTCR S]]+Dashboard!$C$17*tblHistory[[#This Row],[BBB S]]+Dashboard!$C$18*tblHistory[[#This Row],[CCC S]])/(Dashboard!$C$16+Dashboard!$C$17+Dashboard!$C$18)*100</f>
        <v/>
      </c>
      <c r="V559" s="46">
        <f>(Dashboard!$C$19*tblHistory[[#This Row],[BIZD S]]+Dashboard!$C$20*tblHistory[[#This Row],[BKLN S]]+Dashboard!$C$21*tblHistory[[#This Row],[HY S]])/(Dashboard!$C$19+Dashboard!$C$20+Dashboard!$C$21)*100</f>
        <v/>
      </c>
      <c r="W55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59" s="46">
        <f>IFERROR(--(tblHistory[[#This Row],[Score]]&gt;=50),0)</f>
        <v/>
      </c>
      <c r="Y559" s="46">
        <f>IFERROR(--AND(tblHistory[[#This Row],[Score]]&gt;=60,OR(AND(tblHistory[[#This Row],[BIZD S]]&gt;=0.8,tblHistory[[#This Row],[BKLN S]]&gt;=0.5),tblHistory[[#This Row],[CCC S]]&gt;=0.8)),0)</f>
        <v/>
      </c>
      <c r="Z559" s="46">
        <f>IFERROR(--AND(tblHistory[[#This Row],[Score]]&gt;=70,tblHistory[[#This Row],[SOX S]]&gt;=0.83,tblHistory[[#This Row],[AIQ S]]&gt;=0.8),0)</f>
        <v/>
      </c>
      <c r="AA55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5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5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5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5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0">
      <c r="A560" s="42" t="n">
        <v>45512</v>
      </c>
      <c r="B560" s="43" t="n">
        <v>18413.8203</v>
      </c>
      <c r="C560" s="43" t="n">
        <v>4730.0098</v>
      </c>
      <c r="D560" s="43" t="n">
        <v>33.0545</v>
      </c>
      <c r="E560" s="43" t="n">
        <v>14.8009</v>
      </c>
      <c r="F560" s="44" t="n">
        <v>129</v>
      </c>
      <c r="G560" s="44" t="n">
        <v>983</v>
      </c>
      <c r="H560" s="43" t="n">
        <v>12.2704</v>
      </c>
      <c r="I560" s="43" t="n">
        <v>17.8992</v>
      </c>
      <c r="J560" s="44" t="n">
        <v>348</v>
      </c>
      <c r="K56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0" s="46">
        <f>(Dashboard!$C$13*tblHistory[[#This Row],[NDX S]]+Dashboard!$C$14*tblHistory[[#This Row],[SOX S]]+Dashboard!$C$15*tblHistory[[#This Row],[AIQ S]])/(Dashboard!$C$13+Dashboard!$C$14+Dashboard!$C$15)*100</f>
        <v/>
      </c>
      <c r="U560" s="46">
        <f>(Dashboard!$C$16*tblHistory[[#This Row],[DTCR S]]+Dashboard!$C$17*tblHistory[[#This Row],[BBB S]]+Dashboard!$C$18*tblHistory[[#This Row],[CCC S]])/(Dashboard!$C$16+Dashboard!$C$17+Dashboard!$C$18)*100</f>
        <v/>
      </c>
      <c r="V560" s="46">
        <f>(Dashboard!$C$19*tblHistory[[#This Row],[BIZD S]]+Dashboard!$C$20*tblHistory[[#This Row],[BKLN S]]+Dashboard!$C$21*tblHistory[[#This Row],[HY S]])/(Dashboard!$C$19+Dashboard!$C$20+Dashboard!$C$21)*100</f>
        <v/>
      </c>
      <c r="W56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0" s="46">
        <f>IFERROR(--(tblHistory[[#This Row],[Score]]&gt;=50),0)</f>
        <v/>
      </c>
      <c r="Y560" s="46">
        <f>IFERROR(--AND(tblHistory[[#This Row],[Score]]&gt;=60,OR(AND(tblHistory[[#This Row],[BIZD S]]&gt;=0.8,tblHistory[[#This Row],[BKLN S]]&gt;=0.5),tblHistory[[#This Row],[CCC S]]&gt;=0.8)),0)</f>
        <v/>
      </c>
      <c r="Z560" s="46">
        <f>IFERROR(--AND(tblHistory[[#This Row],[Score]]&gt;=70,tblHistory[[#This Row],[SOX S]]&gt;=0.83,tblHistory[[#This Row],[AIQ S]]&gt;=0.8),0)</f>
        <v/>
      </c>
      <c r="AA56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1">
      <c r="A561" s="42" t="n">
        <v>45511</v>
      </c>
      <c r="B561" s="43" t="n">
        <v>17867.3691</v>
      </c>
      <c r="C561" s="43" t="n">
        <v>4426.27</v>
      </c>
      <c r="D561" s="43" t="n">
        <v>31.957</v>
      </c>
      <c r="E561" s="43" t="n">
        <v>14.5671</v>
      </c>
      <c r="F561" s="44" t="n">
        <v>131</v>
      </c>
      <c r="G561" s="44" t="n">
        <v>996</v>
      </c>
      <c r="H561" s="43" t="n">
        <v>12.1852</v>
      </c>
      <c r="I561" s="43" t="n">
        <v>17.8138</v>
      </c>
      <c r="J561" s="44" t="n">
        <v>357</v>
      </c>
      <c r="K56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1" s="46">
        <f>(Dashboard!$C$13*tblHistory[[#This Row],[NDX S]]+Dashboard!$C$14*tblHistory[[#This Row],[SOX S]]+Dashboard!$C$15*tblHistory[[#This Row],[AIQ S]])/(Dashboard!$C$13+Dashboard!$C$14+Dashboard!$C$15)*100</f>
        <v/>
      </c>
      <c r="U561" s="46">
        <f>(Dashboard!$C$16*tblHistory[[#This Row],[DTCR S]]+Dashboard!$C$17*tblHistory[[#This Row],[BBB S]]+Dashboard!$C$18*tblHistory[[#This Row],[CCC S]])/(Dashboard!$C$16+Dashboard!$C$17+Dashboard!$C$18)*100</f>
        <v/>
      </c>
      <c r="V561" s="46">
        <f>(Dashboard!$C$19*tblHistory[[#This Row],[BIZD S]]+Dashboard!$C$20*tblHistory[[#This Row],[BKLN S]]+Dashboard!$C$21*tblHistory[[#This Row],[HY S]])/(Dashboard!$C$19+Dashboard!$C$20+Dashboard!$C$21)*100</f>
        <v/>
      </c>
      <c r="W56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1" s="46">
        <f>IFERROR(--(tblHistory[[#This Row],[Score]]&gt;=50),0)</f>
        <v/>
      </c>
      <c r="Y561" s="46">
        <f>IFERROR(--AND(tblHistory[[#This Row],[Score]]&gt;=60,OR(AND(tblHistory[[#This Row],[BIZD S]]&gt;=0.8,tblHistory[[#This Row],[BKLN S]]&gt;=0.5),tblHistory[[#This Row],[CCC S]]&gt;=0.8)),0)</f>
        <v/>
      </c>
      <c r="Z561" s="46">
        <f>IFERROR(--AND(tblHistory[[#This Row],[Score]]&gt;=70,tblHistory[[#This Row],[SOX S]]&gt;=0.83,tblHistory[[#This Row],[AIQ S]]&gt;=0.8),0)</f>
        <v/>
      </c>
      <c r="AA56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2">
      <c r="A562" s="42" t="n">
        <v>45510</v>
      </c>
      <c r="B562" s="43" t="n">
        <v>18077.9199</v>
      </c>
      <c r="C562" s="43" t="n">
        <v>4567.5698</v>
      </c>
      <c r="D562" s="43" t="n">
        <v>32.0368</v>
      </c>
      <c r="E562" s="43" t="n">
        <v>14.6742</v>
      </c>
      <c r="F562" s="44" t="n">
        <v>132</v>
      </c>
      <c r="G562" s="44" t="n">
        <v>1019</v>
      </c>
      <c r="H562" s="43" t="n">
        <v>12.2859</v>
      </c>
      <c r="I562" s="43" t="n">
        <v>17.8138</v>
      </c>
      <c r="J562" s="44" t="n">
        <v>367</v>
      </c>
      <c r="K56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2" s="46">
        <f>(Dashboard!$C$13*tblHistory[[#This Row],[NDX S]]+Dashboard!$C$14*tblHistory[[#This Row],[SOX S]]+Dashboard!$C$15*tblHistory[[#This Row],[AIQ S]])/(Dashboard!$C$13+Dashboard!$C$14+Dashboard!$C$15)*100</f>
        <v/>
      </c>
      <c r="U562" s="46">
        <f>(Dashboard!$C$16*tblHistory[[#This Row],[DTCR S]]+Dashboard!$C$17*tblHistory[[#This Row],[BBB S]]+Dashboard!$C$18*tblHistory[[#This Row],[CCC S]])/(Dashboard!$C$16+Dashboard!$C$17+Dashboard!$C$18)*100</f>
        <v/>
      </c>
      <c r="V562" s="46">
        <f>(Dashboard!$C$19*tblHistory[[#This Row],[BIZD S]]+Dashboard!$C$20*tblHistory[[#This Row],[BKLN S]]+Dashboard!$C$21*tblHistory[[#This Row],[HY S]])/(Dashboard!$C$19+Dashboard!$C$20+Dashboard!$C$21)*100</f>
        <v/>
      </c>
      <c r="W56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2" s="46">
        <f>IFERROR(--(tblHistory[[#This Row],[Score]]&gt;=50),0)</f>
        <v/>
      </c>
      <c r="Y562" s="46">
        <f>IFERROR(--AND(tblHistory[[#This Row],[Score]]&gt;=60,OR(AND(tblHistory[[#This Row],[BIZD S]]&gt;=0.8,tblHistory[[#This Row],[BKLN S]]&gt;=0.5),tblHistory[[#This Row],[CCC S]]&gt;=0.8)),0)</f>
        <v/>
      </c>
      <c r="Z562" s="46">
        <f>IFERROR(--AND(tblHistory[[#This Row],[Score]]&gt;=70,tblHistory[[#This Row],[SOX S]]&gt;=0.83,tblHistory[[#This Row],[AIQ S]]&gt;=0.8),0)</f>
        <v/>
      </c>
      <c r="AA56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3">
      <c r="A563" s="42" t="n">
        <v>45509</v>
      </c>
      <c r="B563" s="43" t="n">
        <v>17895.1602</v>
      </c>
      <c r="C563" s="43" t="n">
        <v>4519.4502</v>
      </c>
      <c r="D563" s="43" t="n">
        <v>31.7774</v>
      </c>
      <c r="E563" s="43" t="n">
        <v>14.3722</v>
      </c>
      <c r="F563" s="44" t="n">
        <v>137</v>
      </c>
      <c r="G563" s="44" t="n">
        <v>1055</v>
      </c>
      <c r="H563" s="43" t="n">
        <v>12.007</v>
      </c>
      <c r="I563" s="43" t="n">
        <v>17.6602</v>
      </c>
      <c r="J563" s="44" t="n">
        <v>393</v>
      </c>
      <c r="K56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3" s="46">
        <f>(Dashboard!$C$13*tblHistory[[#This Row],[NDX S]]+Dashboard!$C$14*tblHistory[[#This Row],[SOX S]]+Dashboard!$C$15*tblHistory[[#This Row],[AIQ S]])/(Dashboard!$C$13+Dashboard!$C$14+Dashboard!$C$15)*100</f>
        <v/>
      </c>
      <c r="U563" s="46">
        <f>(Dashboard!$C$16*tblHistory[[#This Row],[DTCR S]]+Dashboard!$C$17*tblHistory[[#This Row],[BBB S]]+Dashboard!$C$18*tblHistory[[#This Row],[CCC S]])/(Dashboard!$C$16+Dashboard!$C$17+Dashboard!$C$18)*100</f>
        <v/>
      </c>
      <c r="V563" s="46">
        <f>(Dashboard!$C$19*tblHistory[[#This Row],[BIZD S]]+Dashboard!$C$20*tblHistory[[#This Row],[BKLN S]]+Dashboard!$C$21*tblHistory[[#This Row],[HY S]])/(Dashboard!$C$19+Dashboard!$C$20+Dashboard!$C$21)*100</f>
        <v/>
      </c>
      <c r="W56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3" s="46">
        <f>IFERROR(--(tblHistory[[#This Row],[Score]]&gt;=50),0)</f>
        <v/>
      </c>
      <c r="Y563" s="46">
        <f>IFERROR(--AND(tblHistory[[#This Row],[Score]]&gt;=60,OR(AND(tblHistory[[#This Row],[BIZD S]]&gt;=0.8,tblHistory[[#This Row],[BKLN S]]&gt;=0.5),tblHistory[[#This Row],[CCC S]]&gt;=0.8)),0)</f>
        <v/>
      </c>
      <c r="Z563" s="46">
        <f>IFERROR(--AND(tblHistory[[#This Row],[Score]]&gt;=70,tblHistory[[#This Row],[SOX S]]&gt;=0.83,tblHistory[[#This Row],[AIQ S]]&gt;=0.8),0)</f>
        <v/>
      </c>
      <c r="AA56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4">
      <c r="A564" s="42" t="n">
        <v>45506</v>
      </c>
      <c r="B564" s="43" t="n">
        <v>18440.8496</v>
      </c>
      <c r="C564" s="43" t="n">
        <v>4607.7598</v>
      </c>
      <c r="D564" s="43" t="n">
        <v>32.6953</v>
      </c>
      <c r="E564" s="43" t="n">
        <v>14.9568</v>
      </c>
      <c r="F564" s="44" t="n">
        <v>130</v>
      </c>
      <c r="G564" s="44" t="n">
        <v>1010</v>
      </c>
      <c r="H564" s="43" t="n">
        <v>12.4099</v>
      </c>
      <c r="I564" s="43" t="n">
        <v>17.8309</v>
      </c>
      <c r="J564" s="44" t="n">
        <v>372</v>
      </c>
      <c r="K56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4" s="46">
        <f>(Dashboard!$C$13*tblHistory[[#This Row],[NDX S]]+Dashboard!$C$14*tblHistory[[#This Row],[SOX S]]+Dashboard!$C$15*tblHistory[[#This Row],[AIQ S]])/(Dashboard!$C$13+Dashboard!$C$14+Dashboard!$C$15)*100</f>
        <v/>
      </c>
      <c r="U564" s="46">
        <f>(Dashboard!$C$16*tblHistory[[#This Row],[DTCR S]]+Dashboard!$C$17*tblHistory[[#This Row],[BBB S]]+Dashboard!$C$18*tblHistory[[#This Row],[CCC S]])/(Dashboard!$C$16+Dashboard!$C$17+Dashboard!$C$18)*100</f>
        <v/>
      </c>
      <c r="V564" s="46">
        <f>(Dashboard!$C$19*tblHistory[[#This Row],[BIZD S]]+Dashboard!$C$20*tblHistory[[#This Row],[BKLN S]]+Dashboard!$C$21*tblHistory[[#This Row],[HY S]])/(Dashboard!$C$19+Dashboard!$C$20+Dashboard!$C$21)*100</f>
        <v/>
      </c>
      <c r="W56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4" s="46">
        <f>IFERROR(--(tblHistory[[#This Row],[Score]]&gt;=50),0)</f>
        <v/>
      </c>
      <c r="Y564" s="46">
        <f>IFERROR(--AND(tblHistory[[#This Row],[Score]]&gt;=60,OR(AND(tblHistory[[#This Row],[BIZD S]]&gt;=0.8,tblHistory[[#This Row],[BKLN S]]&gt;=0.5),tblHistory[[#This Row],[CCC S]]&gt;=0.8)),0)</f>
        <v/>
      </c>
      <c r="Z564" s="46">
        <f>IFERROR(--AND(tblHistory[[#This Row],[Score]]&gt;=70,tblHistory[[#This Row],[SOX S]]&gt;=0.83,tblHistory[[#This Row],[AIQ S]]&gt;=0.8),0)</f>
        <v/>
      </c>
      <c r="AA56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5">
      <c r="A565" s="42" t="n">
        <v>45505</v>
      </c>
      <c r="B565" s="43" t="n">
        <v>18890.3906</v>
      </c>
      <c r="C565" s="43" t="n">
        <v>4859.5898</v>
      </c>
      <c r="D565" s="43" t="n">
        <v>33.9225</v>
      </c>
      <c r="E565" s="43" t="n">
        <v>15.0835</v>
      </c>
      <c r="F565" s="44" t="n">
        <v>123</v>
      </c>
      <c r="G565" s="44" t="n">
        <v>953</v>
      </c>
      <c r="H565" s="43" t="n">
        <v>12.8204</v>
      </c>
      <c r="I565" s="43" t="n">
        <v>17.9077</v>
      </c>
      <c r="J565" s="44" t="n">
        <v>335</v>
      </c>
      <c r="K56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5" s="46">
        <f>(Dashboard!$C$13*tblHistory[[#This Row],[NDX S]]+Dashboard!$C$14*tblHistory[[#This Row],[SOX S]]+Dashboard!$C$15*tblHistory[[#This Row],[AIQ S]])/(Dashboard!$C$13+Dashboard!$C$14+Dashboard!$C$15)*100</f>
        <v/>
      </c>
      <c r="U565" s="46">
        <f>(Dashboard!$C$16*tblHistory[[#This Row],[DTCR S]]+Dashboard!$C$17*tblHistory[[#This Row],[BBB S]]+Dashboard!$C$18*tblHistory[[#This Row],[CCC S]])/(Dashboard!$C$16+Dashboard!$C$17+Dashboard!$C$18)*100</f>
        <v/>
      </c>
      <c r="V565" s="46">
        <f>(Dashboard!$C$19*tblHistory[[#This Row],[BIZD S]]+Dashboard!$C$20*tblHistory[[#This Row],[BKLN S]]+Dashboard!$C$21*tblHistory[[#This Row],[HY S]])/(Dashboard!$C$19+Dashboard!$C$20+Dashboard!$C$21)*100</f>
        <v/>
      </c>
      <c r="W56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5" s="46">
        <f>IFERROR(--(tblHistory[[#This Row],[Score]]&gt;=50),0)</f>
        <v/>
      </c>
      <c r="Y565" s="46">
        <f>IFERROR(--AND(tblHistory[[#This Row],[Score]]&gt;=60,OR(AND(tblHistory[[#This Row],[BIZD S]]&gt;=0.8,tblHistory[[#This Row],[BKLN S]]&gt;=0.5),tblHistory[[#This Row],[CCC S]]&gt;=0.8)),0)</f>
        <v/>
      </c>
      <c r="Z565" s="46">
        <f>IFERROR(--AND(tblHistory[[#This Row],[Score]]&gt;=70,tblHistory[[#This Row],[SOX S]]&gt;=0.83,tblHistory[[#This Row],[AIQ S]]&gt;=0.8),0)</f>
        <v/>
      </c>
      <c r="AA56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6">
      <c r="A566" s="42" t="n">
        <v>45504</v>
      </c>
      <c r="B566" s="43" t="n">
        <v>19362.4297</v>
      </c>
      <c r="C566" s="43" t="n">
        <v>5233.1802</v>
      </c>
      <c r="D566" s="43" t="n">
        <v>34.9202</v>
      </c>
      <c r="E566" s="43" t="n">
        <v>15.0543</v>
      </c>
      <c r="F566" s="44" t="n">
        <v>120</v>
      </c>
      <c r="G566" s="44" t="n">
        <v>942</v>
      </c>
      <c r="H566" s="43" t="n">
        <v>12.9056</v>
      </c>
      <c r="I566" s="43" t="n">
        <v>17.9248</v>
      </c>
      <c r="J566" s="44" t="n">
        <v>325</v>
      </c>
      <c r="K56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6" s="46">
        <f>(Dashboard!$C$13*tblHistory[[#This Row],[NDX S]]+Dashboard!$C$14*tblHistory[[#This Row],[SOX S]]+Dashboard!$C$15*tblHistory[[#This Row],[AIQ S]])/(Dashboard!$C$13+Dashboard!$C$14+Dashboard!$C$15)*100</f>
        <v/>
      </c>
      <c r="U566" s="46">
        <f>(Dashboard!$C$16*tblHistory[[#This Row],[DTCR S]]+Dashboard!$C$17*tblHistory[[#This Row],[BBB S]]+Dashboard!$C$18*tblHistory[[#This Row],[CCC S]])/(Dashboard!$C$16+Dashboard!$C$17+Dashboard!$C$18)*100</f>
        <v/>
      </c>
      <c r="V566" s="46">
        <f>(Dashboard!$C$19*tblHistory[[#This Row],[BIZD S]]+Dashboard!$C$20*tblHistory[[#This Row],[BKLN S]]+Dashboard!$C$21*tblHistory[[#This Row],[HY S]])/(Dashboard!$C$19+Dashboard!$C$20+Dashboard!$C$21)*100</f>
        <v/>
      </c>
      <c r="W56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6" s="46">
        <f>IFERROR(--(tblHistory[[#This Row],[Score]]&gt;=50),0)</f>
        <v/>
      </c>
      <c r="Y566" s="46">
        <f>IFERROR(--AND(tblHistory[[#This Row],[Score]]&gt;=60,OR(AND(tblHistory[[#This Row],[BIZD S]]&gt;=0.8,tblHistory[[#This Row],[BKLN S]]&gt;=0.5),tblHistory[[#This Row],[CCC S]]&gt;=0.8)),0)</f>
        <v/>
      </c>
      <c r="Z566" s="46">
        <f>IFERROR(--AND(tblHistory[[#This Row],[Score]]&gt;=70,tblHistory[[#This Row],[SOX S]]&gt;=0.83,tblHistory[[#This Row],[AIQ S]]&gt;=0.8),0)</f>
        <v/>
      </c>
      <c r="AA56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7">
      <c r="A567" s="42" t="n">
        <v>45503</v>
      </c>
      <c r="B567" s="43" t="n">
        <v>18796.2695</v>
      </c>
      <c r="C567" s="43" t="n">
        <v>4890.1499</v>
      </c>
      <c r="D567" s="43" t="n">
        <v>33.8028</v>
      </c>
      <c r="E567" s="43" t="n">
        <v>14.684</v>
      </c>
      <c r="F567" s="44" t="n">
        <v>118</v>
      </c>
      <c r="G567" s="44" t="n">
        <v>919</v>
      </c>
      <c r="H567" s="43" t="n">
        <v>13.0373</v>
      </c>
      <c r="I567" s="43" t="n">
        <v>17.8992</v>
      </c>
      <c r="J567" s="44" t="n">
        <v>320</v>
      </c>
      <c r="K56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7" s="46">
        <f>(Dashboard!$C$13*tblHistory[[#This Row],[NDX S]]+Dashboard!$C$14*tblHistory[[#This Row],[SOX S]]+Dashboard!$C$15*tblHistory[[#This Row],[AIQ S]])/(Dashboard!$C$13+Dashboard!$C$14+Dashboard!$C$15)*100</f>
        <v/>
      </c>
      <c r="U567" s="46">
        <f>(Dashboard!$C$16*tblHistory[[#This Row],[DTCR S]]+Dashboard!$C$17*tblHistory[[#This Row],[BBB S]]+Dashboard!$C$18*tblHistory[[#This Row],[CCC S]])/(Dashboard!$C$16+Dashboard!$C$17+Dashboard!$C$18)*100</f>
        <v/>
      </c>
      <c r="V567" s="46">
        <f>(Dashboard!$C$19*tblHistory[[#This Row],[BIZD S]]+Dashboard!$C$20*tblHistory[[#This Row],[BKLN S]]+Dashboard!$C$21*tblHistory[[#This Row],[HY S]])/(Dashboard!$C$19+Dashboard!$C$20+Dashboard!$C$21)*100</f>
        <v/>
      </c>
      <c r="W56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7" s="46">
        <f>IFERROR(--(tblHistory[[#This Row],[Score]]&gt;=50),0)</f>
        <v/>
      </c>
      <c r="Y567" s="46">
        <f>IFERROR(--AND(tblHistory[[#This Row],[Score]]&gt;=60,OR(AND(tblHistory[[#This Row],[BIZD S]]&gt;=0.8,tblHistory[[#This Row],[BKLN S]]&gt;=0.5),tblHistory[[#This Row],[CCC S]]&gt;=0.8)),0)</f>
        <v/>
      </c>
      <c r="Z567" s="46">
        <f>IFERROR(--AND(tblHistory[[#This Row],[Score]]&gt;=70,tblHistory[[#This Row],[SOX S]]&gt;=0.83,tblHistory[[#This Row],[AIQ S]]&gt;=0.8),0)</f>
        <v/>
      </c>
      <c r="AA56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8">
      <c r="A568" s="42" t="n">
        <v>45502</v>
      </c>
      <c r="B568" s="43" t="n">
        <v>19059.4902</v>
      </c>
      <c r="C568" s="43" t="n">
        <v>5087.6201</v>
      </c>
      <c r="D568" s="43" t="n">
        <v>34.3416</v>
      </c>
      <c r="E568" s="43" t="n">
        <v>14.7814</v>
      </c>
      <c r="F568" s="44" t="n">
        <v>117</v>
      </c>
      <c r="G568" s="44" t="n">
        <v>922</v>
      </c>
      <c r="H568" s="43" t="n">
        <v>12.9289</v>
      </c>
      <c r="I568" s="43" t="n">
        <v>17.9162</v>
      </c>
      <c r="J568" s="44" t="n">
        <v>313</v>
      </c>
      <c r="K56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8" s="46">
        <f>(Dashboard!$C$13*tblHistory[[#This Row],[NDX S]]+Dashboard!$C$14*tblHistory[[#This Row],[SOX S]]+Dashboard!$C$15*tblHistory[[#This Row],[AIQ S]])/(Dashboard!$C$13+Dashboard!$C$14+Dashboard!$C$15)*100</f>
        <v/>
      </c>
      <c r="U568" s="46">
        <f>(Dashboard!$C$16*tblHistory[[#This Row],[DTCR S]]+Dashboard!$C$17*tblHistory[[#This Row],[BBB S]]+Dashboard!$C$18*tblHistory[[#This Row],[CCC S]])/(Dashboard!$C$16+Dashboard!$C$17+Dashboard!$C$18)*100</f>
        <v/>
      </c>
      <c r="V568" s="46">
        <f>(Dashboard!$C$19*tblHistory[[#This Row],[BIZD S]]+Dashboard!$C$20*tblHistory[[#This Row],[BKLN S]]+Dashboard!$C$21*tblHistory[[#This Row],[HY S]])/(Dashboard!$C$19+Dashboard!$C$20+Dashboard!$C$21)*100</f>
        <v/>
      </c>
      <c r="W56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8" s="46">
        <f>IFERROR(--(tblHistory[[#This Row],[Score]]&gt;=50),0)</f>
        <v/>
      </c>
      <c r="Y568" s="46">
        <f>IFERROR(--AND(tblHistory[[#This Row],[Score]]&gt;=60,OR(AND(tblHistory[[#This Row],[BIZD S]]&gt;=0.8,tblHistory[[#This Row],[BKLN S]]&gt;=0.5),tblHistory[[#This Row],[CCC S]]&gt;=0.8)),0)</f>
        <v/>
      </c>
      <c r="Z568" s="46">
        <f>IFERROR(--AND(tblHistory[[#This Row],[Score]]&gt;=70,tblHistory[[#This Row],[SOX S]]&gt;=0.83,tblHistory[[#This Row],[AIQ S]]&gt;=0.8),0)</f>
        <v/>
      </c>
      <c r="AA56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69">
      <c r="A569" s="42" t="n">
        <v>45499</v>
      </c>
      <c r="B569" s="43" t="n">
        <v>19023.6602</v>
      </c>
      <c r="C569" s="43" t="n">
        <v>5103.1299</v>
      </c>
      <c r="D569" s="43" t="n">
        <v>34.4513</v>
      </c>
      <c r="E569" s="43" t="n">
        <v>14.7425</v>
      </c>
      <c r="F569" s="44" t="n">
        <v>117</v>
      </c>
      <c r="G569" s="44" t="n">
        <v>929</v>
      </c>
      <c r="H569" s="43" t="n">
        <v>12.9676</v>
      </c>
      <c r="I569" s="43" t="n">
        <v>17.9077</v>
      </c>
      <c r="J569" s="44" t="n">
        <v>310</v>
      </c>
      <c r="K56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6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6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6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6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6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6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6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6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69" s="46">
        <f>(Dashboard!$C$13*tblHistory[[#This Row],[NDX S]]+Dashboard!$C$14*tblHistory[[#This Row],[SOX S]]+Dashboard!$C$15*tblHistory[[#This Row],[AIQ S]])/(Dashboard!$C$13+Dashboard!$C$14+Dashboard!$C$15)*100</f>
        <v/>
      </c>
      <c r="U569" s="46">
        <f>(Dashboard!$C$16*tblHistory[[#This Row],[DTCR S]]+Dashboard!$C$17*tblHistory[[#This Row],[BBB S]]+Dashboard!$C$18*tblHistory[[#This Row],[CCC S]])/(Dashboard!$C$16+Dashboard!$C$17+Dashboard!$C$18)*100</f>
        <v/>
      </c>
      <c r="V569" s="46">
        <f>(Dashboard!$C$19*tblHistory[[#This Row],[BIZD S]]+Dashboard!$C$20*tblHistory[[#This Row],[BKLN S]]+Dashboard!$C$21*tblHistory[[#This Row],[HY S]])/(Dashboard!$C$19+Dashboard!$C$20+Dashboard!$C$21)*100</f>
        <v/>
      </c>
      <c r="W56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69" s="46">
        <f>IFERROR(--(tblHistory[[#This Row],[Score]]&gt;=50),0)</f>
        <v/>
      </c>
      <c r="Y569" s="46">
        <f>IFERROR(--AND(tblHistory[[#This Row],[Score]]&gt;=60,OR(AND(tblHistory[[#This Row],[BIZD S]]&gt;=0.8,tblHistory[[#This Row],[BKLN S]]&gt;=0.5),tblHistory[[#This Row],[CCC S]]&gt;=0.8)),0)</f>
        <v/>
      </c>
      <c r="Z569" s="46">
        <f>IFERROR(--AND(tblHistory[[#This Row],[Score]]&gt;=70,tblHistory[[#This Row],[SOX S]]&gt;=0.83,tblHistory[[#This Row],[AIQ S]]&gt;=0.8),0)</f>
        <v/>
      </c>
      <c r="AA56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6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6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6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6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0">
      <c r="A570" s="42" t="n">
        <v>45498</v>
      </c>
      <c r="B570" s="43" t="n">
        <v>18830.5801</v>
      </c>
      <c r="C570" s="43" t="n">
        <v>5005.3599</v>
      </c>
      <c r="D570" s="43" t="n">
        <v>34.1221</v>
      </c>
      <c r="E570" s="43" t="n">
        <v>14.6353</v>
      </c>
      <c r="F570" s="44" t="n">
        <v>117</v>
      </c>
      <c r="G570" s="44" t="n">
        <v>931</v>
      </c>
      <c r="H570" s="43" t="n">
        <v>12.8437</v>
      </c>
      <c r="I570" s="43" t="n">
        <v>17.8906</v>
      </c>
      <c r="J570" s="44" t="n">
        <v>308</v>
      </c>
      <c r="K57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0" s="46">
        <f>(Dashboard!$C$13*tblHistory[[#This Row],[NDX S]]+Dashboard!$C$14*tblHistory[[#This Row],[SOX S]]+Dashboard!$C$15*tblHistory[[#This Row],[AIQ S]])/(Dashboard!$C$13+Dashboard!$C$14+Dashboard!$C$15)*100</f>
        <v/>
      </c>
      <c r="U570" s="46">
        <f>(Dashboard!$C$16*tblHistory[[#This Row],[DTCR S]]+Dashboard!$C$17*tblHistory[[#This Row],[BBB S]]+Dashboard!$C$18*tblHistory[[#This Row],[CCC S]])/(Dashboard!$C$16+Dashboard!$C$17+Dashboard!$C$18)*100</f>
        <v/>
      </c>
      <c r="V570" s="46">
        <f>(Dashboard!$C$19*tblHistory[[#This Row],[BIZD S]]+Dashboard!$C$20*tblHistory[[#This Row],[BKLN S]]+Dashboard!$C$21*tblHistory[[#This Row],[HY S]])/(Dashboard!$C$19+Dashboard!$C$20+Dashboard!$C$21)*100</f>
        <v/>
      </c>
      <c r="W57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0" s="46">
        <f>IFERROR(--(tblHistory[[#This Row],[Score]]&gt;=50),0)</f>
        <v/>
      </c>
      <c r="Y570" s="46">
        <f>IFERROR(--AND(tblHistory[[#This Row],[Score]]&gt;=60,OR(AND(tblHistory[[#This Row],[BIZD S]]&gt;=0.8,tblHistory[[#This Row],[BKLN S]]&gt;=0.5),tblHistory[[#This Row],[CCC S]]&gt;=0.8)),0)</f>
        <v/>
      </c>
      <c r="Z570" s="46">
        <f>IFERROR(--AND(tblHistory[[#This Row],[Score]]&gt;=70,tblHistory[[#This Row],[SOX S]]&gt;=0.83,tblHistory[[#This Row],[AIQ S]]&gt;=0.8),0)</f>
        <v/>
      </c>
      <c r="AA57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1">
      <c r="A571" s="42" t="n">
        <v>45497</v>
      </c>
      <c r="B571" s="43" t="n">
        <v>19032.3906</v>
      </c>
      <c r="C571" s="43" t="n">
        <v>5105.6499</v>
      </c>
      <c r="D571" s="43" t="n">
        <v>34.2418</v>
      </c>
      <c r="E571" s="43" t="n">
        <v>14.7132</v>
      </c>
      <c r="F571" s="44" t="n">
        <v>118</v>
      </c>
      <c r="G571" s="44" t="n">
        <v>934</v>
      </c>
      <c r="H571" s="43" t="n">
        <v>12.8204</v>
      </c>
      <c r="I571" s="43" t="n">
        <v>17.9248</v>
      </c>
      <c r="J571" s="44" t="n">
        <v>310</v>
      </c>
      <c r="K57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1" s="46">
        <f>(Dashboard!$C$13*tblHistory[[#This Row],[NDX S]]+Dashboard!$C$14*tblHistory[[#This Row],[SOX S]]+Dashboard!$C$15*tblHistory[[#This Row],[AIQ S]])/(Dashboard!$C$13+Dashboard!$C$14+Dashboard!$C$15)*100</f>
        <v/>
      </c>
      <c r="U571" s="46">
        <f>(Dashboard!$C$16*tblHistory[[#This Row],[DTCR S]]+Dashboard!$C$17*tblHistory[[#This Row],[BBB S]]+Dashboard!$C$18*tblHistory[[#This Row],[CCC S]])/(Dashboard!$C$16+Dashboard!$C$17+Dashboard!$C$18)*100</f>
        <v/>
      </c>
      <c r="V571" s="46">
        <f>(Dashboard!$C$19*tblHistory[[#This Row],[BIZD S]]+Dashboard!$C$20*tblHistory[[#This Row],[BKLN S]]+Dashboard!$C$21*tblHistory[[#This Row],[HY S]])/(Dashboard!$C$19+Dashboard!$C$20+Dashboard!$C$21)*100</f>
        <v/>
      </c>
      <c r="W57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1" s="46">
        <f>IFERROR(--(tblHistory[[#This Row],[Score]]&gt;=50),0)</f>
        <v/>
      </c>
      <c r="Y571" s="46">
        <f>IFERROR(--AND(tblHistory[[#This Row],[Score]]&gt;=60,OR(AND(tblHistory[[#This Row],[BIZD S]]&gt;=0.8,tblHistory[[#This Row],[BKLN S]]&gt;=0.5),tblHistory[[#This Row],[CCC S]]&gt;=0.8)),0)</f>
        <v/>
      </c>
      <c r="Z571" s="46">
        <f>IFERROR(--AND(tblHistory[[#This Row],[Score]]&gt;=70,tblHistory[[#This Row],[SOX S]]&gt;=0.83,tblHistory[[#This Row],[AIQ S]]&gt;=0.8),0)</f>
        <v/>
      </c>
      <c r="AA57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2">
      <c r="A572" s="42" t="n">
        <v>45496</v>
      </c>
      <c r="B572" s="43" t="n">
        <v>19754.3398</v>
      </c>
      <c r="C572" s="43" t="n">
        <v>5397.8999</v>
      </c>
      <c r="D572" s="43" t="n">
        <v>35.5588</v>
      </c>
      <c r="E572" s="43" t="n">
        <v>15.1225</v>
      </c>
      <c r="F572" s="44" t="n">
        <v>115</v>
      </c>
      <c r="G572" s="44" t="n">
        <v>926</v>
      </c>
      <c r="H572" s="43" t="n">
        <v>12.9444</v>
      </c>
      <c r="I572" s="43" t="n">
        <v>17.9418</v>
      </c>
      <c r="J572" s="44" t="n">
        <v>302</v>
      </c>
      <c r="K57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2" s="46">
        <f>(Dashboard!$C$13*tblHistory[[#This Row],[NDX S]]+Dashboard!$C$14*tblHistory[[#This Row],[SOX S]]+Dashboard!$C$15*tblHistory[[#This Row],[AIQ S]])/(Dashboard!$C$13+Dashboard!$C$14+Dashboard!$C$15)*100</f>
        <v/>
      </c>
      <c r="U572" s="46">
        <f>(Dashboard!$C$16*tblHistory[[#This Row],[DTCR S]]+Dashboard!$C$17*tblHistory[[#This Row],[BBB S]]+Dashboard!$C$18*tblHistory[[#This Row],[CCC S]])/(Dashboard!$C$16+Dashboard!$C$17+Dashboard!$C$18)*100</f>
        <v/>
      </c>
      <c r="V572" s="46">
        <f>(Dashboard!$C$19*tblHistory[[#This Row],[BIZD S]]+Dashboard!$C$20*tblHistory[[#This Row],[BKLN S]]+Dashboard!$C$21*tblHistory[[#This Row],[HY S]])/(Dashboard!$C$19+Dashboard!$C$20+Dashboard!$C$21)*100</f>
        <v/>
      </c>
      <c r="W57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2" s="46">
        <f>IFERROR(--(tblHistory[[#This Row],[Score]]&gt;=50),0)</f>
        <v/>
      </c>
      <c r="Y572" s="46">
        <f>IFERROR(--AND(tblHistory[[#This Row],[Score]]&gt;=60,OR(AND(tblHistory[[#This Row],[BIZD S]]&gt;=0.8,tblHistory[[#This Row],[BKLN S]]&gt;=0.5),tblHistory[[#This Row],[CCC S]]&gt;=0.8)),0)</f>
        <v/>
      </c>
      <c r="Z572" s="46">
        <f>IFERROR(--AND(tblHistory[[#This Row],[Score]]&gt;=70,tblHistory[[#This Row],[SOX S]]&gt;=0.83,tblHistory[[#This Row],[AIQ S]]&gt;=0.8),0)</f>
        <v/>
      </c>
      <c r="AA57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3">
      <c r="A573" s="42" t="n">
        <v>45495</v>
      </c>
      <c r="B573" s="43" t="n">
        <v>19822.8691</v>
      </c>
      <c r="C573" s="43" t="n">
        <v>5477.8301</v>
      </c>
      <c r="D573" s="43" t="n">
        <v>35.6885</v>
      </c>
      <c r="E573" s="43" t="n">
        <v>15.1907</v>
      </c>
      <c r="F573" s="44" t="n">
        <v>115</v>
      </c>
      <c r="G573" s="44" t="n">
        <v>931</v>
      </c>
      <c r="H573" s="43" t="n">
        <v>13.0218</v>
      </c>
      <c r="I573" s="43" t="n">
        <v>17.9589</v>
      </c>
      <c r="J573" s="44" t="n">
        <v>305</v>
      </c>
      <c r="K57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3" s="46">
        <f>(Dashboard!$C$13*tblHistory[[#This Row],[NDX S]]+Dashboard!$C$14*tblHistory[[#This Row],[SOX S]]+Dashboard!$C$15*tblHistory[[#This Row],[AIQ S]])/(Dashboard!$C$13+Dashboard!$C$14+Dashboard!$C$15)*100</f>
        <v/>
      </c>
      <c r="U573" s="46">
        <f>(Dashboard!$C$16*tblHistory[[#This Row],[DTCR S]]+Dashboard!$C$17*tblHistory[[#This Row],[BBB S]]+Dashboard!$C$18*tblHistory[[#This Row],[CCC S]])/(Dashboard!$C$16+Dashboard!$C$17+Dashboard!$C$18)*100</f>
        <v/>
      </c>
      <c r="V573" s="46">
        <f>(Dashboard!$C$19*tblHistory[[#This Row],[BIZD S]]+Dashboard!$C$20*tblHistory[[#This Row],[BKLN S]]+Dashboard!$C$21*tblHistory[[#This Row],[HY S]])/(Dashboard!$C$19+Dashboard!$C$20+Dashboard!$C$21)*100</f>
        <v/>
      </c>
      <c r="W57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3" s="46">
        <f>IFERROR(--(tblHistory[[#This Row],[Score]]&gt;=50),0)</f>
        <v/>
      </c>
      <c r="Y573" s="46">
        <f>IFERROR(--AND(tblHistory[[#This Row],[Score]]&gt;=60,OR(AND(tblHistory[[#This Row],[BIZD S]]&gt;=0.8,tblHistory[[#This Row],[BKLN S]]&gt;=0.5),tblHistory[[#This Row],[CCC S]]&gt;=0.8)),0)</f>
        <v/>
      </c>
      <c r="Z573" s="46">
        <f>IFERROR(--AND(tblHistory[[#This Row],[Score]]&gt;=70,tblHistory[[#This Row],[SOX S]]&gt;=0.83,tblHistory[[#This Row],[AIQ S]]&gt;=0.8),0)</f>
        <v/>
      </c>
      <c r="AA57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4">
      <c r="A574" s="42" t="n">
        <v>45492</v>
      </c>
      <c r="B574" s="43" t="n">
        <v>19522.6191</v>
      </c>
      <c r="C574" s="43" t="n">
        <v>5267.1602</v>
      </c>
      <c r="D574" s="43" t="n">
        <v>35.02</v>
      </c>
      <c r="E574" s="43" t="n">
        <v>15.1517</v>
      </c>
      <c r="F574" s="44" t="n">
        <v>115</v>
      </c>
      <c r="G574" s="44" t="n">
        <v>932</v>
      </c>
      <c r="H574" s="43" t="n">
        <v>12.9056</v>
      </c>
      <c r="I574" s="43" t="n">
        <v>17.9393</v>
      </c>
      <c r="J574" s="44" t="n">
        <v>309</v>
      </c>
      <c r="K57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4" s="46">
        <f>(Dashboard!$C$13*tblHistory[[#This Row],[NDX S]]+Dashboard!$C$14*tblHistory[[#This Row],[SOX S]]+Dashboard!$C$15*tblHistory[[#This Row],[AIQ S]])/(Dashboard!$C$13+Dashboard!$C$14+Dashboard!$C$15)*100</f>
        <v/>
      </c>
      <c r="U574" s="46">
        <f>(Dashboard!$C$16*tblHistory[[#This Row],[DTCR S]]+Dashboard!$C$17*tblHistory[[#This Row],[BBB S]]+Dashboard!$C$18*tblHistory[[#This Row],[CCC S]])/(Dashboard!$C$16+Dashboard!$C$17+Dashboard!$C$18)*100</f>
        <v/>
      </c>
      <c r="V574" s="46">
        <f>(Dashboard!$C$19*tblHistory[[#This Row],[BIZD S]]+Dashboard!$C$20*tblHistory[[#This Row],[BKLN S]]+Dashboard!$C$21*tblHistory[[#This Row],[HY S]])/(Dashboard!$C$19+Dashboard!$C$20+Dashboard!$C$21)*100</f>
        <v/>
      </c>
      <c r="W57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4" s="46">
        <f>IFERROR(--(tblHistory[[#This Row],[Score]]&gt;=50),0)</f>
        <v/>
      </c>
      <c r="Y574" s="46">
        <f>IFERROR(--AND(tblHistory[[#This Row],[Score]]&gt;=60,OR(AND(tblHistory[[#This Row],[BIZD S]]&gt;=0.8,tblHistory[[#This Row],[BKLN S]]&gt;=0.5),tblHistory[[#This Row],[CCC S]]&gt;=0.8)),0)</f>
        <v/>
      </c>
      <c r="Z574" s="46">
        <f>IFERROR(--AND(tblHistory[[#This Row],[Score]]&gt;=70,tblHistory[[#This Row],[SOX S]]&gt;=0.83,tblHistory[[#This Row],[AIQ S]]&gt;=0.8),0)</f>
        <v/>
      </c>
      <c r="AA57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5">
      <c r="A575" s="42" t="n">
        <v>45491</v>
      </c>
      <c r="B575" s="43" t="n">
        <v>19705.0898</v>
      </c>
      <c r="C575" s="43" t="n">
        <v>5436.4199</v>
      </c>
      <c r="D575" s="43" t="n">
        <v>35.3892</v>
      </c>
      <c r="E575" s="43" t="n">
        <v>15.2394</v>
      </c>
      <c r="F575" s="44" t="n">
        <v>115</v>
      </c>
      <c r="G575" s="44" t="n">
        <v>930</v>
      </c>
      <c r="H575" s="43" t="n">
        <v>12.9676</v>
      </c>
      <c r="I575" s="43" t="n">
        <v>17.9308</v>
      </c>
      <c r="J575" s="44" t="n">
        <v>309</v>
      </c>
      <c r="K57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5" s="46">
        <f>(Dashboard!$C$13*tblHistory[[#This Row],[NDX S]]+Dashboard!$C$14*tblHistory[[#This Row],[SOX S]]+Dashboard!$C$15*tblHistory[[#This Row],[AIQ S]])/(Dashboard!$C$13+Dashboard!$C$14+Dashboard!$C$15)*100</f>
        <v/>
      </c>
      <c r="U575" s="46">
        <f>(Dashboard!$C$16*tblHistory[[#This Row],[DTCR S]]+Dashboard!$C$17*tblHistory[[#This Row],[BBB S]]+Dashboard!$C$18*tblHistory[[#This Row],[CCC S]])/(Dashboard!$C$16+Dashboard!$C$17+Dashboard!$C$18)*100</f>
        <v/>
      </c>
      <c r="V575" s="46">
        <f>(Dashboard!$C$19*tblHistory[[#This Row],[BIZD S]]+Dashboard!$C$20*tblHistory[[#This Row],[BKLN S]]+Dashboard!$C$21*tblHistory[[#This Row],[HY S]])/(Dashboard!$C$19+Dashboard!$C$20+Dashboard!$C$21)*100</f>
        <v/>
      </c>
      <c r="W57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5" s="46">
        <f>IFERROR(--(tblHistory[[#This Row],[Score]]&gt;=50),0)</f>
        <v/>
      </c>
      <c r="Y575" s="46">
        <f>IFERROR(--AND(tblHistory[[#This Row],[Score]]&gt;=60,OR(AND(tblHistory[[#This Row],[BIZD S]]&gt;=0.8,tblHistory[[#This Row],[BKLN S]]&gt;=0.5),tblHistory[[#This Row],[CCC S]]&gt;=0.8)),0)</f>
        <v/>
      </c>
      <c r="Z575" s="46">
        <f>IFERROR(--AND(tblHistory[[#This Row],[Score]]&gt;=70,tblHistory[[#This Row],[SOX S]]&gt;=0.83,tblHistory[[#This Row],[AIQ S]]&gt;=0.8),0)</f>
        <v/>
      </c>
      <c r="AA57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6">
      <c r="A576" s="42" t="n">
        <v>45490</v>
      </c>
      <c r="B576" s="43" t="n">
        <v>19799.1406</v>
      </c>
      <c r="C576" s="43" t="n">
        <v>5408.71</v>
      </c>
      <c r="D576" s="43" t="n">
        <v>35.6386</v>
      </c>
      <c r="E576" s="43" t="n">
        <v>15.4343</v>
      </c>
      <c r="F576" s="44" t="n">
        <v>115</v>
      </c>
      <c r="G576" s="44" t="n">
        <v>937</v>
      </c>
      <c r="H576" s="43" t="n">
        <v>13.0683</v>
      </c>
      <c r="I576" s="43" t="n">
        <v>17.9308</v>
      </c>
      <c r="J576" s="44" t="n">
        <v>309</v>
      </c>
      <c r="K57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6" s="46">
        <f>(Dashboard!$C$13*tblHistory[[#This Row],[NDX S]]+Dashboard!$C$14*tblHistory[[#This Row],[SOX S]]+Dashboard!$C$15*tblHistory[[#This Row],[AIQ S]])/(Dashboard!$C$13+Dashboard!$C$14+Dashboard!$C$15)*100</f>
        <v/>
      </c>
      <c r="U576" s="46">
        <f>(Dashboard!$C$16*tblHistory[[#This Row],[DTCR S]]+Dashboard!$C$17*tblHistory[[#This Row],[BBB S]]+Dashboard!$C$18*tblHistory[[#This Row],[CCC S]])/(Dashboard!$C$16+Dashboard!$C$17+Dashboard!$C$18)*100</f>
        <v/>
      </c>
      <c r="V576" s="46">
        <f>(Dashboard!$C$19*tblHistory[[#This Row],[BIZD S]]+Dashboard!$C$20*tblHistory[[#This Row],[BKLN S]]+Dashboard!$C$21*tblHistory[[#This Row],[HY S]])/(Dashboard!$C$19+Dashboard!$C$20+Dashboard!$C$21)*100</f>
        <v/>
      </c>
      <c r="W57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6" s="46">
        <f>IFERROR(--(tblHistory[[#This Row],[Score]]&gt;=50),0)</f>
        <v/>
      </c>
      <c r="Y576" s="46">
        <f>IFERROR(--AND(tblHistory[[#This Row],[Score]]&gt;=60,OR(AND(tblHistory[[#This Row],[BIZD S]]&gt;=0.8,tblHistory[[#This Row],[BKLN S]]&gt;=0.5),tblHistory[[#This Row],[CCC S]]&gt;=0.8)),0)</f>
        <v/>
      </c>
      <c r="Z576" s="46">
        <f>IFERROR(--AND(tblHistory[[#This Row],[Score]]&gt;=70,tblHistory[[#This Row],[SOX S]]&gt;=0.83,tblHistory[[#This Row],[AIQ S]]&gt;=0.8),0)</f>
        <v/>
      </c>
      <c r="AA57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7">
      <c r="A577" s="42" t="n">
        <v>45489</v>
      </c>
      <c r="B577" s="43" t="n">
        <v>20398.6191</v>
      </c>
      <c r="C577" s="43" t="n">
        <v>5804.0298</v>
      </c>
      <c r="D577" s="43" t="n">
        <v>36.8658</v>
      </c>
      <c r="E577" s="43" t="n">
        <v>15.7266</v>
      </c>
      <c r="F577" s="44" t="n">
        <v>114</v>
      </c>
      <c r="G577" s="44" t="n">
        <v>930</v>
      </c>
      <c r="H577" s="43" t="n">
        <v>13.0993</v>
      </c>
      <c r="I577" s="43" t="n">
        <v>17.9308</v>
      </c>
      <c r="J577" s="44" t="n">
        <v>308</v>
      </c>
      <c r="K57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7" s="46">
        <f>(Dashboard!$C$13*tblHistory[[#This Row],[NDX S]]+Dashboard!$C$14*tblHistory[[#This Row],[SOX S]]+Dashboard!$C$15*tblHistory[[#This Row],[AIQ S]])/(Dashboard!$C$13+Dashboard!$C$14+Dashboard!$C$15)*100</f>
        <v/>
      </c>
      <c r="U577" s="46">
        <f>(Dashboard!$C$16*tblHistory[[#This Row],[DTCR S]]+Dashboard!$C$17*tblHistory[[#This Row],[BBB S]]+Dashboard!$C$18*tblHistory[[#This Row],[CCC S]])/(Dashboard!$C$16+Dashboard!$C$17+Dashboard!$C$18)*100</f>
        <v/>
      </c>
      <c r="V577" s="46">
        <f>(Dashboard!$C$19*tblHistory[[#This Row],[BIZD S]]+Dashboard!$C$20*tblHistory[[#This Row],[BKLN S]]+Dashboard!$C$21*tblHistory[[#This Row],[HY S]])/(Dashboard!$C$19+Dashboard!$C$20+Dashboard!$C$21)*100</f>
        <v/>
      </c>
      <c r="W57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7" s="46">
        <f>IFERROR(--(tblHistory[[#This Row],[Score]]&gt;=50),0)</f>
        <v/>
      </c>
      <c r="Y577" s="46">
        <f>IFERROR(--AND(tblHistory[[#This Row],[Score]]&gt;=60,OR(AND(tblHistory[[#This Row],[BIZD S]]&gt;=0.8,tblHistory[[#This Row],[BKLN S]]&gt;=0.5),tblHistory[[#This Row],[CCC S]]&gt;=0.8)),0)</f>
        <v/>
      </c>
      <c r="Z577" s="46">
        <f>IFERROR(--AND(tblHistory[[#This Row],[Score]]&gt;=70,tblHistory[[#This Row],[SOX S]]&gt;=0.83,tblHistory[[#This Row],[AIQ S]]&gt;=0.8),0)</f>
        <v/>
      </c>
      <c r="AA57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8">
      <c r="A578" s="42" t="n">
        <v>45488</v>
      </c>
      <c r="B578" s="43" t="n">
        <v>20386.8809</v>
      </c>
      <c r="C578" s="43" t="n">
        <v>5777.71</v>
      </c>
      <c r="D578" s="43" t="n">
        <v>36.7561</v>
      </c>
      <c r="E578" s="43" t="n">
        <v>15.5902</v>
      </c>
      <c r="F578" s="44" t="n">
        <v>114</v>
      </c>
      <c r="G578" s="44" t="n">
        <v>938</v>
      </c>
      <c r="H578" s="43" t="n">
        <v>13.1225</v>
      </c>
      <c r="I578" s="43" t="n">
        <v>17.9223</v>
      </c>
      <c r="J578" s="44" t="n">
        <v>313</v>
      </c>
      <c r="K57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8" s="46">
        <f>(Dashboard!$C$13*tblHistory[[#This Row],[NDX S]]+Dashboard!$C$14*tblHistory[[#This Row],[SOX S]]+Dashboard!$C$15*tblHistory[[#This Row],[AIQ S]])/(Dashboard!$C$13+Dashboard!$C$14+Dashboard!$C$15)*100</f>
        <v/>
      </c>
      <c r="U578" s="46">
        <f>(Dashboard!$C$16*tblHistory[[#This Row],[DTCR S]]+Dashboard!$C$17*tblHistory[[#This Row],[BBB S]]+Dashboard!$C$18*tblHistory[[#This Row],[CCC S]])/(Dashboard!$C$16+Dashboard!$C$17+Dashboard!$C$18)*100</f>
        <v/>
      </c>
      <c r="V578" s="46">
        <f>(Dashboard!$C$19*tblHistory[[#This Row],[BIZD S]]+Dashboard!$C$20*tblHistory[[#This Row],[BKLN S]]+Dashboard!$C$21*tblHistory[[#This Row],[HY S]])/(Dashboard!$C$19+Dashboard!$C$20+Dashboard!$C$21)*100</f>
        <v/>
      </c>
      <c r="W57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8" s="46">
        <f>IFERROR(--(tblHistory[[#This Row],[Score]]&gt;=50),0)</f>
        <v/>
      </c>
      <c r="Y578" s="46">
        <f>IFERROR(--AND(tblHistory[[#This Row],[Score]]&gt;=60,OR(AND(tblHistory[[#This Row],[BIZD S]]&gt;=0.8,tblHistory[[#This Row],[BKLN S]]&gt;=0.5),tblHistory[[#This Row],[CCC S]]&gt;=0.8)),0)</f>
        <v/>
      </c>
      <c r="Z578" s="46">
        <f>IFERROR(--AND(tblHistory[[#This Row],[Score]]&gt;=70,tblHistory[[#This Row],[SOX S]]&gt;=0.83,tblHistory[[#This Row],[AIQ S]]&gt;=0.8),0)</f>
        <v/>
      </c>
      <c r="AA57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79">
      <c r="A579" s="42" t="n">
        <v>45485</v>
      </c>
      <c r="B579" s="43" t="n">
        <v>20331.4902</v>
      </c>
      <c r="C579" s="43" t="n">
        <v>5775.1899</v>
      </c>
      <c r="D579" s="43" t="n">
        <v>36.6962</v>
      </c>
      <c r="E579" s="43" t="n">
        <v>15.6876</v>
      </c>
      <c r="F579" s="44" t="n">
        <v>114</v>
      </c>
      <c r="G579" s="44" t="n">
        <v>951</v>
      </c>
      <c r="H579" s="43" t="n">
        <v>13.1535</v>
      </c>
      <c r="I579" s="43" t="n">
        <v>17.9223</v>
      </c>
      <c r="J579" s="44" t="n">
        <v>319</v>
      </c>
      <c r="K57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7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7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7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7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7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7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7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7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79" s="46">
        <f>(Dashboard!$C$13*tblHistory[[#This Row],[NDX S]]+Dashboard!$C$14*tblHistory[[#This Row],[SOX S]]+Dashboard!$C$15*tblHistory[[#This Row],[AIQ S]])/(Dashboard!$C$13+Dashboard!$C$14+Dashboard!$C$15)*100</f>
        <v/>
      </c>
      <c r="U579" s="46">
        <f>(Dashboard!$C$16*tblHistory[[#This Row],[DTCR S]]+Dashboard!$C$17*tblHistory[[#This Row],[BBB S]]+Dashboard!$C$18*tblHistory[[#This Row],[CCC S]])/(Dashboard!$C$16+Dashboard!$C$17+Dashboard!$C$18)*100</f>
        <v/>
      </c>
      <c r="V579" s="46">
        <f>(Dashboard!$C$19*tblHistory[[#This Row],[BIZD S]]+Dashboard!$C$20*tblHistory[[#This Row],[BKLN S]]+Dashboard!$C$21*tblHistory[[#This Row],[HY S]])/(Dashboard!$C$19+Dashboard!$C$20+Dashboard!$C$21)*100</f>
        <v/>
      </c>
      <c r="W57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79" s="46">
        <f>IFERROR(--(tblHistory[[#This Row],[Score]]&gt;=50),0)</f>
        <v/>
      </c>
      <c r="Y579" s="46">
        <f>IFERROR(--AND(tblHistory[[#This Row],[Score]]&gt;=60,OR(AND(tblHistory[[#This Row],[BIZD S]]&gt;=0.8,tblHistory[[#This Row],[BKLN S]]&gt;=0.5),tblHistory[[#This Row],[CCC S]]&gt;=0.8)),0)</f>
        <v/>
      </c>
      <c r="Z579" s="46">
        <f>IFERROR(--AND(tblHistory[[#This Row],[Score]]&gt;=70,tblHistory[[#This Row],[SOX S]]&gt;=0.83,tblHistory[[#This Row],[AIQ S]]&gt;=0.8),0)</f>
        <v/>
      </c>
      <c r="AA57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7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7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7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7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0">
      <c r="A580" s="42" t="n">
        <v>45484</v>
      </c>
      <c r="B580" s="43" t="n">
        <v>20211.3594</v>
      </c>
      <c r="C580" s="43" t="n">
        <v>5699.6602</v>
      </c>
      <c r="D580" s="43" t="n">
        <v>36.4268</v>
      </c>
      <c r="E580" s="43" t="n">
        <v>15.4635</v>
      </c>
      <c r="F580" s="44" t="n">
        <v>115</v>
      </c>
      <c r="G580" s="44" t="n">
        <v>952</v>
      </c>
      <c r="H580" s="43" t="n">
        <v>13.1613</v>
      </c>
      <c r="I580" s="43" t="n">
        <v>17.9138</v>
      </c>
      <c r="J580" s="44" t="n">
        <v>318</v>
      </c>
      <c r="K58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0" s="46">
        <f>(Dashboard!$C$13*tblHistory[[#This Row],[NDX S]]+Dashboard!$C$14*tblHistory[[#This Row],[SOX S]]+Dashboard!$C$15*tblHistory[[#This Row],[AIQ S]])/(Dashboard!$C$13+Dashboard!$C$14+Dashboard!$C$15)*100</f>
        <v/>
      </c>
      <c r="U580" s="46">
        <f>(Dashboard!$C$16*tblHistory[[#This Row],[DTCR S]]+Dashboard!$C$17*tblHistory[[#This Row],[BBB S]]+Dashboard!$C$18*tblHistory[[#This Row],[CCC S]])/(Dashboard!$C$16+Dashboard!$C$17+Dashboard!$C$18)*100</f>
        <v/>
      </c>
      <c r="V580" s="46">
        <f>(Dashboard!$C$19*tblHistory[[#This Row],[BIZD S]]+Dashboard!$C$20*tblHistory[[#This Row],[BKLN S]]+Dashboard!$C$21*tblHistory[[#This Row],[HY S]])/(Dashboard!$C$19+Dashboard!$C$20+Dashboard!$C$21)*100</f>
        <v/>
      </c>
      <c r="W58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0" s="46">
        <f>IFERROR(--(tblHistory[[#This Row],[Score]]&gt;=50),0)</f>
        <v/>
      </c>
      <c r="Y580" s="46">
        <f>IFERROR(--AND(tblHistory[[#This Row],[Score]]&gt;=60,OR(AND(tblHistory[[#This Row],[BIZD S]]&gt;=0.8,tblHistory[[#This Row],[BKLN S]]&gt;=0.5),tblHistory[[#This Row],[CCC S]]&gt;=0.8)),0)</f>
        <v/>
      </c>
      <c r="Z580" s="46">
        <f>IFERROR(--AND(tblHistory[[#This Row],[Score]]&gt;=70,tblHistory[[#This Row],[SOX S]]&gt;=0.83,tblHistory[[#This Row],[AIQ S]]&gt;=0.8),0)</f>
        <v/>
      </c>
      <c r="AA58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1">
      <c r="A581" s="42" t="n">
        <v>45483</v>
      </c>
      <c r="B581" s="43" t="n">
        <v>20675.3809</v>
      </c>
      <c r="C581" s="43" t="n">
        <v>5904.54</v>
      </c>
      <c r="D581" s="43" t="n">
        <v>36.9456</v>
      </c>
      <c r="E581" s="43" t="n">
        <v>15.2881</v>
      </c>
      <c r="F581" s="44" t="n">
        <v>114</v>
      </c>
      <c r="G581" s="44" t="n">
        <v>946</v>
      </c>
      <c r="H581" s="43" t="n">
        <v>13.1303</v>
      </c>
      <c r="I581" s="43" t="n">
        <v>17.8884</v>
      </c>
      <c r="J581" s="44" t="n">
        <v>317</v>
      </c>
      <c r="K58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1" s="46">
        <f>(Dashboard!$C$13*tblHistory[[#This Row],[NDX S]]+Dashboard!$C$14*tblHistory[[#This Row],[SOX S]]+Dashboard!$C$15*tblHistory[[#This Row],[AIQ S]])/(Dashboard!$C$13+Dashboard!$C$14+Dashboard!$C$15)*100</f>
        <v/>
      </c>
      <c r="U581" s="46">
        <f>(Dashboard!$C$16*tblHistory[[#This Row],[DTCR S]]+Dashboard!$C$17*tblHistory[[#This Row],[BBB S]]+Dashboard!$C$18*tblHistory[[#This Row],[CCC S]])/(Dashboard!$C$16+Dashboard!$C$17+Dashboard!$C$18)*100</f>
        <v/>
      </c>
      <c r="V581" s="46">
        <f>(Dashboard!$C$19*tblHistory[[#This Row],[BIZD S]]+Dashboard!$C$20*tblHistory[[#This Row],[BKLN S]]+Dashboard!$C$21*tblHistory[[#This Row],[HY S]])/(Dashboard!$C$19+Dashboard!$C$20+Dashboard!$C$21)*100</f>
        <v/>
      </c>
      <c r="W58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1" s="46">
        <f>IFERROR(--(tblHistory[[#This Row],[Score]]&gt;=50),0)</f>
        <v/>
      </c>
      <c r="Y581" s="46">
        <f>IFERROR(--AND(tblHistory[[#This Row],[Score]]&gt;=60,OR(AND(tblHistory[[#This Row],[BIZD S]]&gt;=0.8,tblHistory[[#This Row],[BKLN S]]&gt;=0.5),tblHistory[[#This Row],[CCC S]]&gt;=0.8)),0)</f>
        <v/>
      </c>
      <c r="Z581" s="46">
        <f>IFERROR(--AND(tblHistory[[#This Row],[Score]]&gt;=70,tblHistory[[#This Row],[SOX S]]&gt;=0.83,tblHistory[[#This Row],[AIQ S]]&gt;=0.8),0)</f>
        <v/>
      </c>
      <c r="AA58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2">
      <c r="A582" s="42" t="n">
        <v>45482</v>
      </c>
      <c r="B582" s="43" t="n">
        <v>20453.0195</v>
      </c>
      <c r="C582" s="43" t="n">
        <v>5765.2002</v>
      </c>
      <c r="D582" s="43" t="n">
        <v>36.6563</v>
      </c>
      <c r="E582" s="43" t="n">
        <v>15.1127</v>
      </c>
      <c r="F582" s="44" t="n">
        <v>114</v>
      </c>
      <c r="G582" s="44" t="n">
        <v>951</v>
      </c>
      <c r="H582" s="43" t="n">
        <v>13.0451</v>
      </c>
      <c r="I582" s="43" t="n">
        <v>17.88</v>
      </c>
      <c r="J582" s="44" t="n">
        <v>321</v>
      </c>
      <c r="K58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2" s="46">
        <f>(Dashboard!$C$13*tblHistory[[#This Row],[NDX S]]+Dashboard!$C$14*tblHistory[[#This Row],[SOX S]]+Dashboard!$C$15*tblHistory[[#This Row],[AIQ S]])/(Dashboard!$C$13+Dashboard!$C$14+Dashboard!$C$15)*100</f>
        <v/>
      </c>
      <c r="U582" s="46">
        <f>(Dashboard!$C$16*tblHistory[[#This Row],[DTCR S]]+Dashboard!$C$17*tblHistory[[#This Row],[BBB S]]+Dashboard!$C$18*tblHistory[[#This Row],[CCC S]])/(Dashboard!$C$16+Dashboard!$C$17+Dashboard!$C$18)*100</f>
        <v/>
      </c>
      <c r="V582" s="46">
        <f>(Dashboard!$C$19*tblHistory[[#This Row],[BIZD S]]+Dashboard!$C$20*tblHistory[[#This Row],[BKLN S]]+Dashboard!$C$21*tblHistory[[#This Row],[HY S]])/(Dashboard!$C$19+Dashboard!$C$20+Dashboard!$C$21)*100</f>
        <v/>
      </c>
      <c r="W58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2" s="46">
        <f>IFERROR(--(tblHistory[[#This Row],[Score]]&gt;=50),0)</f>
        <v/>
      </c>
      <c r="Y582" s="46">
        <f>IFERROR(--AND(tblHistory[[#This Row],[Score]]&gt;=60,OR(AND(tblHistory[[#This Row],[BIZD S]]&gt;=0.8,tblHistory[[#This Row],[BKLN S]]&gt;=0.5),tblHistory[[#This Row],[CCC S]]&gt;=0.8)),0)</f>
        <v/>
      </c>
      <c r="Z582" s="46">
        <f>IFERROR(--AND(tblHistory[[#This Row],[Score]]&gt;=70,tblHistory[[#This Row],[SOX S]]&gt;=0.83,tblHistory[[#This Row],[AIQ S]]&gt;=0.8),0)</f>
        <v/>
      </c>
      <c r="AA58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3">
      <c r="A583" s="42" t="n">
        <v>45481</v>
      </c>
      <c r="B583" s="43" t="n">
        <v>20439.5391</v>
      </c>
      <c r="C583" s="43" t="n">
        <v>5765.21</v>
      </c>
      <c r="D583" s="43" t="n">
        <v>36.6962</v>
      </c>
      <c r="E583" s="43" t="n">
        <v>15.103</v>
      </c>
      <c r="F583" s="44" t="n">
        <v>114</v>
      </c>
      <c r="G583" s="44" t="n">
        <v>952</v>
      </c>
      <c r="H583" s="43" t="n">
        <v>13.1535</v>
      </c>
      <c r="I583" s="43" t="n">
        <v>17.8545</v>
      </c>
      <c r="J583" s="44" t="n">
        <v>320</v>
      </c>
      <c r="K58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3" s="46">
        <f>(Dashboard!$C$13*tblHistory[[#This Row],[NDX S]]+Dashboard!$C$14*tblHistory[[#This Row],[SOX S]]+Dashboard!$C$15*tblHistory[[#This Row],[AIQ S]])/(Dashboard!$C$13+Dashboard!$C$14+Dashboard!$C$15)*100</f>
        <v/>
      </c>
      <c r="U583" s="46">
        <f>(Dashboard!$C$16*tblHistory[[#This Row],[DTCR S]]+Dashboard!$C$17*tblHistory[[#This Row],[BBB S]]+Dashboard!$C$18*tblHistory[[#This Row],[CCC S]])/(Dashboard!$C$16+Dashboard!$C$17+Dashboard!$C$18)*100</f>
        <v/>
      </c>
      <c r="V583" s="46">
        <f>(Dashboard!$C$19*tblHistory[[#This Row],[BIZD S]]+Dashboard!$C$20*tblHistory[[#This Row],[BKLN S]]+Dashboard!$C$21*tblHistory[[#This Row],[HY S]])/(Dashboard!$C$19+Dashboard!$C$20+Dashboard!$C$21)*100</f>
        <v/>
      </c>
      <c r="W58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3" s="46">
        <f>IFERROR(--(tblHistory[[#This Row],[Score]]&gt;=50),0)</f>
        <v/>
      </c>
      <c r="Y583" s="46">
        <f>IFERROR(--AND(tblHistory[[#This Row],[Score]]&gt;=60,OR(AND(tblHistory[[#This Row],[BIZD S]]&gt;=0.8,tblHistory[[#This Row],[BKLN S]]&gt;=0.5),tblHistory[[#This Row],[CCC S]]&gt;=0.8)),0)</f>
        <v/>
      </c>
      <c r="Z583" s="46">
        <f>IFERROR(--AND(tblHistory[[#This Row],[Score]]&gt;=70,tblHistory[[#This Row],[SOX S]]&gt;=0.83,tblHistory[[#This Row],[AIQ S]]&gt;=0.8),0)</f>
        <v/>
      </c>
      <c r="AA58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4">
      <c r="A584" s="42" t="n">
        <v>45478</v>
      </c>
      <c r="B584" s="43" t="n">
        <v>20391.9707</v>
      </c>
      <c r="C584" s="43" t="n">
        <v>5656.3101</v>
      </c>
      <c r="D584" s="43" t="n">
        <v>36.7561</v>
      </c>
      <c r="E584" s="43" t="n">
        <v>14.8984</v>
      </c>
      <c r="F584" s="44" t="n">
        <v>115</v>
      </c>
      <c r="G584" s="44" t="n">
        <v>959</v>
      </c>
      <c r="H584" s="43" t="n">
        <v>13.1458</v>
      </c>
      <c r="I584" s="43" t="n">
        <v>17.863</v>
      </c>
      <c r="J584" s="44" t="n">
        <v>327</v>
      </c>
      <c r="K58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4" s="46">
        <f>(Dashboard!$C$13*tblHistory[[#This Row],[NDX S]]+Dashboard!$C$14*tblHistory[[#This Row],[SOX S]]+Dashboard!$C$15*tblHistory[[#This Row],[AIQ S]])/(Dashboard!$C$13+Dashboard!$C$14+Dashboard!$C$15)*100</f>
        <v/>
      </c>
      <c r="U584" s="46">
        <f>(Dashboard!$C$16*tblHistory[[#This Row],[DTCR S]]+Dashboard!$C$17*tblHistory[[#This Row],[BBB S]]+Dashboard!$C$18*tblHistory[[#This Row],[CCC S]])/(Dashboard!$C$16+Dashboard!$C$17+Dashboard!$C$18)*100</f>
        <v/>
      </c>
      <c r="V584" s="46">
        <f>(Dashboard!$C$19*tblHistory[[#This Row],[BIZD S]]+Dashboard!$C$20*tblHistory[[#This Row],[BKLN S]]+Dashboard!$C$21*tblHistory[[#This Row],[HY S]])/(Dashboard!$C$19+Dashboard!$C$20+Dashboard!$C$21)*100</f>
        <v/>
      </c>
      <c r="W58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4" s="46">
        <f>IFERROR(--(tblHistory[[#This Row],[Score]]&gt;=50),0)</f>
        <v/>
      </c>
      <c r="Y584" s="46">
        <f>IFERROR(--AND(tblHistory[[#This Row],[Score]]&gt;=60,OR(AND(tblHistory[[#This Row],[BIZD S]]&gt;=0.8,tblHistory[[#This Row],[BKLN S]]&gt;=0.5),tblHistory[[#This Row],[CCC S]]&gt;=0.8)),0)</f>
        <v/>
      </c>
      <c r="Z584" s="46">
        <f>IFERROR(--AND(tblHistory[[#This Row],[Score]]&gt;=70,tblHistory[[#This Row],[SOX S]]&gt;=0.83,tblHistory[[#This Row],[AIQ S]]&gt;=0.8),0)</f>
        <v/>
      </c>
      <c r="AA58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5">
      <c r="A585" s="42" t="n">
        <v>45476</v>
      </c>
      <c r="B585" s="43" t="n">
        <v>20186.6309</v>
      </c>
      <c r="C585" s="43" t="n">
        <v>5651.7202</v>
      </c>
      <c r="D585" s="43" t="n">
        <v>36.4468</v>
      </c>
      <c r="E585" s="43" t="n">
        <v>14.8935</v>
      </c>
      <c r="F585" s="44" t="n">
        <v>115</v>
      </c>
      <c r="G585" s="44" t="n">
        <v>958</v>
      </c>
      <c r="H585" s="43" t="n">
        <v>13.0993</v>
      </c>
      <c r="I585" s="43" t="n">
        <v>17.8376</v>
      </c>
      <c r="J585" s="44" t="n">
        <v>325</v>
      </c>
      <c r="K58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5" s="46">
        <f>(Dashboard!$C$13*tblHistory[[#This Row],[NDX S]]+Dashboard!$C$14*tblHistory[[#This Row],[SOX S]]+Dashboard!$C$15*tblHistory[[#This Row],[AIQ S]])/(Dashboard!$C$13+Dashboard!$C$14+Dashboard!$C$15)*100</f>
        <v/>
      </c>
      <c r="U585" s="46">
        <f>(Dashboard!$C$16*tblHistory[[#This Row],[DTCR S]]+Dashboard!$C$17*tblHistory[[#This Row],[BBB S]]+Dashboard!$C$18*tblHistory[[#This Row],[CCC S]])/(Dashboard!$C$16+Dashboard!$C$17+Dashboard!$C$18)*100</f>
        <v/>
      </c>
      <c r="V585" s="46">
        <f>(Dashboard!$C$19*tblHistory[[#This Row],[BIZD S]]+Dashboard!$C$20*tblHistory[[#This Row],[BKLN S]]+Dashboard!$C$21*tblHistory[[#This Row],[HY S]])/(Dashboard!$C$19+Dashboard!$C$20+Dashboard!$C$21)*100</f>
        <v/>
      </c>
      <c r="W58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5" s="46">
        <f>IFERROR(--(tblHistory[[#This Row],[Score]]&gt;=50),0)</f>
        <v/>
      </c>
      <c r="Y585" s="46">
        <f>IFERROR(--AND(tblHistory[[#This Row],[Score]]&gt;=60,OR(AND(tblHistory[[#This Row],[BIZD S]]&gt;=0.8,tblHistory[[#This Row],[BKLN S]]&gt;=0.5),tblHistory[[#This Row],[CCC S]]&gt;=0.8)),0)</f>
        <v/>
      </c>
      <c r="Z585" s="46">
        <f>IFERROR(--AND(tblHistory[[#This Row],[Score]]&gt;=70,tblHistory[[#This Row],[SOX S]]&gt;=0.83,tblHistory[[#This Row],[AIQ S]]&gt;=0.8),0)</f>
        <v/>
      </c>
      <c r="AA58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6">
      <c r="A586" s="42" t="n">
        <v>45475</v>
      </c>
      <c r="B586" s="43" t="n">
        <v>20011.8906</v>
      </c>
      <c r="C586" s="43" t="n">
        <v>5544.9902</v>
      </c>
      <c r="D586" s="43" t="n">
        <v>36.0177</v>
      </c>
      <c r="E586" s="43" t="n">
        <v>14.645</v>
      </c>
      <c r="F586" s="44" t="n">
        <v>115</v>
      </c>
      <c r="G586" s="44" t="n">
        <v>955</v>
      </c>
      <c r="H586" s="43" t="n">
        <v>12.9986</v>
      </c>
      <c r="I586" s="43" t="n">
        <v>17.8291</v>
      </c>
      <c r="J586" s="44" t="n">
        <v>323</v>
      </c>
      <c r="K58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6" s="46">
        <f>(Dashboard!$C$13*tblHistory[[#This Row],[NDX S]]+Dashboard!$C$14*tblHistory[[#This Row],[SOX S]]+Dashboard!$C$15*tblHistory[[#This Row],[AIQ S]])/(Dashboard!$C$13+Dashboard!$C$14+Dashboard!$C$15)*100</f>
        <v/>
      </c>
      <c r="U586" s="46">
        <f>(Dashboard!$C$16*tblHistory[[#This Row],[DTCR S]]+Dashboard!$C$17*tblHistory[[#This Row],[BBB S]]+Dashboard!$C$18*tblHistory[[#This Row],[CCC S]])/(Dashboard!$C$16+Dashboard!$C$17+Dashboard!$C$18)*100</f>
        <v/>
      </c>
      <c r="V586" s="46">
        <f>(Dashboard!$C$19*tblHistory[[#This Row],[BIZD S]]+Dashboard!$C$20*tblHistory[[#This Row],[BKLN S]]+Dashboard!$C$21*tblHistory[[#This Row],[HY S]])/(Dashboard!$C$19+Dashboard!$C$20+Dashboard!$C$21)*100</f>
        <v/>
      </c>
      <c r="W58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6" s="46">
        <f>IFERROR(--(tblHistory[[#This Row],[Score]]&gt;=50),0)</f>
        <v/>
      </c>
      <c r="Y586" s="46">
        <f>IFERROR(--AND(tblHistory[[#This Row],[Score]]&gt;=60,OR(AND(tblHistory[[#This Row],[BIZD S]]&gt;=0.8,tblHistory[[#This Row],[BKLN S]]&gt;=0.5),tblHistory[[#This Row],[CCC S]]&gt;=0.8)),0)</f>
        <v/>
      </c>
      <c r="Z586" s="46">
        <f>IFERROR(--AND(tblHistory[[#This Row],[Score]]&gt;=70,tblHistory[[#This Row],[SOX S]]&gt;=0.83,tblHistory[[#This Row],[AIQ S]]&gt;=0.8),0)</f>
        <v/>
      </c>
      <c r="AA58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7">
      <c r="A587" s="42" t="n">
        <v>45474</v>
      </c>
      <c r="B587" s="43" t="n">
        <v>19812.2207</v>
      </c>
      <c r="C587" s="43" t="n">
        <v>5477.1499</v>
      </c>
      <c r="D587" s="43" t="n">
        <v>35.7085</v>
      </c>
      <c r="E587" s="43" t="n">
        <v>14.5768</v>
      </c>
      <c r="F587" s="44" t="n">
        <v>116</v>
      </c>
      <c r="G587" s="44" t="n">
        <v>951</v>
      </c>
      <c r="H587" s="43" t="n">
        <v>12.8746</v>
      </c>
      <c r="I587" s="43" t="n">
        <v>17.8206</v>
      </c>
      <c r="J587" s="44" t="n">
        <v>321</v>
      </c>
      <c r="K58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7" s="46">
        <f>(Dashboard!$C$13*tblHistory[[#This Row],[NDX S]]+Dashboard!$C$14*tblHistory[[#This Row],[SOX S]]+Dashboard!$C$15*tblHistory[[#This Row],[AIQ S]])/(Dashboard!$C$13+Dashboard!$C$14+Dashboard!$C$15)*100</f>
        <v/>
      </c>
      <c r="U587" s="46">
        <f>(Dashboard!$C$16*tblHistory[[#This Row],[DTCR S]]+Dashboard!$C$17*tblHistory[[#This Row],[BBB S]]+Dashboard!$C$18*tblHistory[[#This Row],[CCC S]])/(Dashboard!$C$16+Dashboard!$C$17+Dashboard!$C$18)*100</f>
        <v/>
      </c>
      <c r="V587" s="46">
        <f>(Dashboard!$C$19*tblHistory[[#This Row],[BIZD S]]+Dashboard!$C$20*tblHistory[[#This Row],[BKLN S]]+Dashboard!$C$21*tblHistory[[#This Row],[HY S]])/(Dashboard!$C$19+Dashboard!$C$20+Dashboard!$C$21)*100</f>
        <v/>
      </c>
      <c r="W58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7" s="46">
        <f>IFERROR(--(tblHistory[[#This Row],[Score]]&gt;=50),0)</f>
        <v/>
      </c>
      <c r="Y587" s="46">
        <f>IFERROR(--AND(tblHistory[[#This Row],[Score]]&gt;=60,OR(AND(tblHistory[[#This Row],[BIZD S]]&gt;=0.8,tblHistory[[#This Row],[BKLN S]]&gt;=0.5),tblHistory[[#This Row],[CCC S]]&gt;=0.8)),0)</f>
        <v/>
      </c>
      <c r="Z587" s="46">
        <f>IFERROR(--AND(tblHistory[[#This Row],[Score]]&gt;=70,tblHistory[[#This Row],[SOX S]]&gt;=0.83,tblHistory[[#This Row],[AIQ S]]&gt;=0.8),0)</f>
        <v/>
      </c>
      <c r="AA58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8">
      <c r="A588" s="42" t="n">
        <v>45471</v>
      </c>
      <c r="B588" s="43" t="n">
        <v>19682.8691</v>
      </c>
      <c r="C588" s="43" t="n">
        <v>5472.2598</v>
      </c>
      <c r="D588" s="43" t="n">
        <v>35.5488</v>
      </c>
      <c r="E588" s="43" t="n">
        <v>14.6742</v>
      </c>
      <c r="F588" s="44" t="n">
        <v>117</v>
      </c>
      <c r="G588" s="44" t="n">
        <v>942</v>
      </c>
      <c r="H588" s="43" t="n">
        <v>12.9033</v>
      </c>
      <c r="I588" s="43" t="n">
        <v>17.8291</v>
      </c>
      <c r="J588" s="44" t="n">
        <v>318</v>
      </c>
      <c r="K58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8" s="46">
        <f>(Dashboard!$C$13*tblHistory[[#This Row],[NDX S]]+Dashboard!$C$14*tblHistory[[#This Row],[SOX S]]+Dashboard!$C$15*tblHistory[[#This Row],[AIQ S]])/(Dashboard!$C$13+Dashboard!$C$14+Dashboard!$C$15)*100</f>
        <v/>
      </c>
      <c r="U588" s="46">
        <f>(Dashboard!$C$16*tblHistory[[#This Row],[DTCR S]]+Dashboard!$C$17*tblHistory[[#This Row],[BBB S]]+Dashboard!$C$18*tblHistory[[#This Row],[CCC S]])/(Dashboard!$C$16+Dashboard!$C$17+Dashboard!$C$18)*100</f>
        <v/>
      </c>
      <c r="V588" s="46">
        <f>(Dashboard!$C$19*tblHistory[[#This Row],[BIZD S]]+Dashboard!$C$20*tblHistory[[#This Row],[BKLN S]]+Dashboard!$C$21*tblHistory[[#This Row],[HY S]])/(Dashboard!$C$19+Dashboard!$C$20+Dashboard!$C$21)*100</f>
        <v/>
      </c>
      <c r="W58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8" s="46">
        <f>IFERROR(--(tblHistory[[#This Row],[Score]]&gt;=50),0)</f>
        <v/>
      </c>
      <c r="Y588" s="46">
        <f>IFERROR(--AND(tblHistory[[#This Row],[Score]]&gt;=60,OR(AND(tblHistory[[#This Row],[BIZD S]]&gt;=0.8,tblHistory[[#This Row],[BKLN S]]&gt;=0.5),tblHistory[[#This Row],[CCC S]]&gt;=0.8)),0)</f>
        <v/>
      </c>
      <c r="Z588" s="46">
        <f>IFERROR(--AND(tblHistory[[#This Row],[Score]]&gt;=70,tblHistory[[#This Row],[SOX S]]&gt;=0.83,tblHistory[[#This Row],[AIQ S]]&gt;=0.8),0)</f>
        <v/>
      </c>
      <c r="AA58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89">
      <c r="A589" s="42" t="n">
        <v>45470</v>
      </c>
      <c r="B589" s="43" t="n">
        <v>19789.0293</v>
      </c>
      <c r="C589" s="43" t="n">
        <v>5421.0898</v>
      </c>
      <c r="D589" s="43" t="n">
        <v>35.5588</v>
      </c>
      <c r="E589" s="43" t="n">
        <v>14.6548</v>
      </c>
      <c r="F589" s="44" t="n">
        <v>118</v>
      </c>
      <c r="G589" s="44" t="n">
        <v>944</v>
      </c>
      <c r="H589" s="43" t="n">
        <v>12.9259</v>
      </c>
      <c r="I589" s="43" t="n">
        <v>17.8206</v>
      </c>
      <c r="J589" s="44" t="n">
        <v>321</v>
      </c>
      <c r="K58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8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8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8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8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8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8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8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8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89" s="46">
        <f>(Dashboard!$C$13*tblHistory[[#This Row],[NDX S]]+Dashboard!$C$14*tblHistory[[#This Row],[SOX S]]+Dashboard!$C$15*tblHistory[[#This Row],[AIQ S]])/(Dashboard!$C$13+Dashboard!$C$14+Dashboard!$C$15)*100</f>
        <v/>
      </c>
      <c r="U589" s="46">
        <f>(Dashboard!$C$16*tblHistory[[#This Row],[DTCR S]]+Dashboard!$C$17*tblHistory[[#This Row],[BBB S]]+Dashboard!$C$18*tblHistory[[#This Row],[CCC S]])/(Dashboard!$C$16+Dashboard!$C$17+Dashboard!$C$18)*100</f>
        <v/>
      </c>
      <c r="V589" s="46">
        <f>(Dashboard!$C$19*tblHistory[[#This Row],[BIZD S]]+Dashboard!$C$20*tblHistory[[#This Row],[BKLN S]]+Dashboard!$C$21*tblHistory[[#This Row],[HY S]])/(Dashboard!$C$19+Dashboard!$C$20+Dashboard!$C$21)*100</f>
        <v/>
      </c>
      <c r="W58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89" s="46">
        <f>IFERROR(--(tblHistory[[#This Row],[Score]]&gt;=50),0)</f>
        <v/>
      </c>
      <c r="Y589" s="46">
        <f>IFERROR(--AND(tblHistory[[#This Row],[Score]]&gt;=60,OR(AND(tblHistory[[#This Row],[BIZD S]]&gt;=0.8,tblHistory[[#This Row],[BKLN S]]&gt;=0.5),tblHistory[[#This Row],[CCC S]]&gt;=0.8)),0)</f>
        <v/>
      </c>
      <c r="Z589" s="46">
        <f>IFERROR(--AND(tblHistory[[#This Row],[Score]]&gt;=70,tblHistory[[#This Row],[SOX S]]&gt;=0.83,tblHistory[[#This Row],[AIQ S]]&gt;=0.8),0)</f>
        <v/>
      </c>
      <c r="AA58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8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8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8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8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0">
      <c r="A590" s="42" t="n">
        <v>45469</v>
      </c>
      <c r="B590" s="43" t="n">
        <v>19751.0508</v>
      </c>
      <c r="C590" s="43" t="n">
        <v>5452.3198</v>
      </c>
      <c r="D590" s="43" t="n">
        <v>35.3862</v>
      </c>
      <c r="E590" s="43" t="n">
        <v>14.5203</v>
      </c>
      <c r="F590" s="44" t="n">
        <v>118</v>
      </c>
      <c r="G590" s="44" t="n">
        <v>941</v>
      </c>
      <c r="H590" s="43" t="n">
        <v>12.843</v>
      </c>
      <c r="I590" s="43" t="n">
        <v>17.8037</v>
      </c>
      <c r="J590" s="44" t="n">
        <v>318</v>
      </c>
      <c r="K59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0" s="46">
        <f>(Dashboard!$C$13*tblHistory[[#This Row],[NDX S]]+Dashboard!$C$14*tblHistory[[#This Row],[SOX S]]+Dashboard!$C$15*tblHistory[[#This Row],[AIQ S]])/(Dashboard!$C$13+Dashboard!$C$14+Dashboard!$C$15)*100</f>
        <v/>
      </c>
      <c r="U590" s="46">
        <f>(Dashboard!$C$16*tblHistory[[#This Row],[DTCR S]]+Dashboard!$C$17*tblHistory[[#This Row],[BBB S]]+Dashboard!$C$18*tblHistory[[#This Row],[CCC S]])/(Dashboard!$C$16+Dashboard!$C$17+Dashboard!$C$18)*100</f>
        <v/>
      </c>
      <c r="V590" s="46">
        <f>(Dashboard!$C$19*tblHistory[[#This Row],[BIZD S]]+Dashboard!$C$20*tblHistory[[#This Row],[BKLN S]]+Dashboard!$C$21*tblHistory[[#This Row],[HY S]])/(Dashboard!$C$19+Dashboard!$C$20+Dashboard!$C$21)*100</f>
        <v/>
      </c>
      <c r="W59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0" s="46">
        <f>IFERROR(--(tblHistory[[#This Row],[Score]]&gt;=50),0)</f>
        <v/>
      </c>
      <c r="Y590" s="46">
        <f>IFERROR(--AND(tblHistory[[#This Row],[Score]]&gt;=60,OR(AND(tblHistory[[#This Row],[BIZD S]]&gt;=0.8,tblHistory[[#This Row],[BKLN S]]&gt;=0.5),tblHistory[[#This Row],[CCC S]]&gt;=0.8)),0)</f>
        <v/>
      </c>
      <c r="Z590" s="46">
        <f>IFERROR(--AND(tblHistory[[#This Row],[Score]]&gt;=70,tblHistory[[#This Row],[SOX S]]&gt;=0.83,tblHistory[[#This Row],[AIQ S]]&gt;=0.8),0)</f>
        <v/>
      </c>
      <c r="AA59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1">
      <c r="A591" s="42" t="n">
        <v>45468</v>
      </c>
      <c r="B591" s="43" t="n">
        <v>19701.1309</v>
      </c>
      <c r="C591" s="43" t="n">
        <v>5467.6602</v>
      </c>
      <c r="D591" s="43" t="n">
        <v>35.3164</v>
      </c>
      <c r="E591" s="43" t="n">
        <v>14.5687</v>
      </c>
      <c r="F591" s="44" t="n">
        <v>118</v>
      </c>
      <c r="G591" s="44" t="n">
        <v>939</v>
      </c>
      <c r="H591" s="43" t="n">
        <v>12.8354</v>
      </c>
      <c r="I591" s="43" t="n">
        <v>17.8122</v>
      </c>
      <c r="J591" s="44" t="n">
        <v>319</v>
      </c>
      <c r="K59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1" s="46">
        <f>(Dashboard!$C$13*tblHistory[[#This Row],[NDX S]]+Dashboard!$C$14*tblHistory[[#This Row],[SOX S]]+Dashboard!$C$15*tblHistory[[#This Row],[AIQ S]])/(Dashboard!$C$13+Dashboard!$C$14+Dashboard!$C$15)*100</f>
        <v/>
      </c>
      <c r="U591" s="46">
        <f>(Dashboard!$C$16*tblHistory[[#This Row],[DTCR S]]+Dashboard!$C$17*tblHistory[[#This Row],[BBB S]]+Dashboard!$C$18*tblHistory[[#This Row],[CCC S]])/(Dashboard!$C$16+Dashboard!$C$17+Dashboard!$C$18)*100</f>
        <v/>
      </c>
      <c r="V591" s="46">
        <f>(Dashboard!$C$19*tblHistory[[#This Row],[BIZD S]]+Dashboard!$C$20*tblHistory[[#This Row],[BKLN S]]+Dashboard!$C$21*tblHistory[[#This Row],[HY S]])/(Dashboard!$C$19+Dashboard!$C$20+Dashboard!$C$21)*100</f>
        <v/>
      </c>
      <c r="W59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1" s="46">
        <f>IFERROR(--(tblHistory[[#This Row],[Score]]&gt;=50),0)</f>
        <v/>
      </c>
      <c r="Y591" s="46">
        <f>IFERROR(--AND(tblHistory[[#This Row],[Score]]&gt;=60,OR(AND(tblHistory[[#This Row],[BIZD S]]&gt;=0.8,tblHistory[[#This Row],[BKLN S]]&gt;=0.5),tblHistory[[#This Row],[CCC S]]&gt;=0.8)),0)</f>
        <v/>
      </c>
      <c r="Z591" s="46">
        <f>IFERROR(--AND(tblHistory[[#This Row],[Score]]&gt;=70,tblHistory[[#This Row],[SOX S]]&gt;=0.83,tblHistory[[#This Row],[AIQ S]]&gt;=0.8),0)</f>
        <v/>
      </c>
      <c r="AA59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2">
      <c r="A592" s="42" t="n">
        <v>45467</v>
      </c>
      <c r="B592" s="43" t="n">
        <v>19474.6191</v>
      </c>
      <c r="C592" s="43" t="n">
        <v>5371.52</v>
      </c>
      <c r="D592" s="43" t="n">
        <v>34.9975</v>
      </c>
      <c r="E592" s="43" t="n">
        <v>14.5687</v>
      </c>
      <c r="F592" s="44" t="n">
        <v>118</v>
      </c>
      <c r="G592" s="44" t="n">
        <v>937</v>
      </c>
      <c r="H592" s="43" t="n">
        <v>12.8807</v>
      </c>
      <c r="I592" s="43" t="n">
        <v>17.8122</v>
      </c>
      <c r="J592" s="44" t="n">
        <v>319</v>
      </c>
      <c r="K59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2" s="46">
        <f>(Dashboard!$C$13*tblHistory[[#This Row],[NDX S]]+Dashboard!$C$14*tblHistory[[#This Row],[SOX S]]+Dashboard!$C$15*tblHistory[[#This Row],[AIQ S]])/(Dashboard!$C$13+Dashboard!$C$14+Dashboard!$C$15)*100</f>
        <v/>
      </c>
      <c r="U592" s="46">
        <f>(Dashboard!$C$16*tblHistory[[#This Row],[DTCR S]]+Dashboard!$C$17*tblHistory[[#This Row],[BBB S]]+Dashboard!$C$18*tblHistory[[#This Row],[CCC S]])/(Dashboard!$C$16+Dashboard!$C$17+Dashboard!$C$18)*100</f>
        <v/>
      </c>
      <c r="V592" s="46">
        <f>(Dashboard!$C$19*tblHistory[[#This Row],[BIZD S]]+Dashboard!$C$20*tblHistory[[#This Row],[BKLN S]]+Dashboard!$C$21*tblHistory[[#This Row],[HY S]])/(Dashboard!$C$19+Dashboard!$C$20+Dashboard!$C$21)*100</f>
        <v/>
      </c>
      <c r="W59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2" s="46">
        <f>IFERROR(--(tblHistory[[#This Row],[Score]]&gt;=50),0)</f>
        <v/>
      </c>
      <c r="Y592" s="46">
        <f>IFERROR(--AND(tblHistory[[#This Row],[Score]]&gt;=60,OR(AND(tblHistory[[#This Row],[BIZD S]]&gt;=0.8,tblHistory[[#This Row],[BKLN S]]&gt;=0.5),tblHistory[[#This Row],[CCC S]]&gt;=0.8)),0)</f>
        <v/>
      </c>
      <c r="Z592" s="46">
        <f>IFERROR(--AND(tblHistory[[#This Row],[Score]]&gt;=70,tblHistory[[#This Row],[SOX S]]&gt;=0.83,tblHistory[[#This Row],[AIQ S]]&gt;=0.8),0)</f>
        <v/>
      </c>
      <c r="AA59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3">
      <c r="A593" s="42" t="n">
        <v>45464</v>
      </c>
      <c r="B593" s="43" t="n">
        <v>19700.4297</v>
      </c>
      <c r="C593" s="43" t="n">
        <v>5538.54</v>
      </c>
      <c r="D593" s="43" t="n">
        <v>35.4061</v>
      </c>
      <c r="E593" s="43" t="n">
        <v>14.6557</v>
      </c>
      <c r="F593" s="44" t="n">
        <v>118</v>
      </c>
      <c r="G593" s="44" t="n">
        <v>936</v>
      </c>
      <c r="H593" s="43" t="n">
        <v>12.8203</v>
      </c>
      <c r="I593" s="43" t="n">
        <v>17.7833</v>
      </c>
      <c r="J593" s="44" t="n">
        <v>321</v>
      </c>
      <c r="K59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3" s="46">
        <f>(Dashboard!$C$13*tblHistory[[#This Row],[NDX S]]+Dashboard!$C$14*tblHistory[[#This Row],[SOX S]]+Dashboard!$C$15*tblHistory[[#This Row],[AIQ S]])/(Dashboard!$C$13+Dashboard!$C$14+Dashboard!$C$15)*100</f>
        <v/>
      </c>
      <c r="U593" s="46">
        <f>(Dashboard!$C$16*tblHistory[[#This Row],[DTCR S]]+Dashboard!$C$17*tblHistory[[#This Row],[BBB S]]+Dashboard!$C$18*tblHistory[[#This Row],[CCC S]])/(Dashboard!$C$16+Dashboard!$C$17+Dashboard!$C$18)*100</f>
        <v/>
      </c>
      <c r="V593" s="46">
        <f>(Dashboard!$C$19*tblHistory[[#This Row],[BIZD S]]+Dashboard!$C$20*tblHistory[[#This Row],[BKLN S]]+Dashboard!$C$21*tblHistory[[#This Row],[HY S]])/(Dashboard!$C$19+Dashboard!$C$20+Dashboard!$C$21)*100</f>
        <v/>
      </c>
      <c r="W59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3" s="46">
        <f>IFERROR(--(tblHistory[[#This Row],[Score]]&gt;=50),0)</f>
        <v/>
      </c>
      <c r="Y593" s="46">
        <f>IFERROR(--AND(tblHistory[[#This Row],[Score]]&gt;=60,OR(AND(tblHistory[[#This Row],[BIZD S]]&gt;=0.8,tblHistory[[#This Row],[BKLN S]]&gt;=0.5),tblHistory[[#This Row],[CCC S]]&gt;=0.8)),0)</f>
        <v/>
      </c>
      <c r="Z593" s="46">
        <f>IFERROR(--AND(tblHistory[[#This Row],[Score]]&gt;=70,tblHistory[[#This Row],[SOX S]]&gt;=0.83,tblHistory[[#This Row],[AIQ S]]&gt;=0.8),0)</f>
        <v/>
      </c>
      <c r="AA59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4">
      <c r="A594" s="42" t="n">
        <v>45463</v>
      </c>
      <c r="B594" s="43" t="n">
        <v>19752.3008</v>
      </c>
      <c r="C594" s="43" t="n">
        <v>5610.0098</v>
      </c>
      <c r="D594" s="43" t="n">
        <v>35.5456</v>
      </c>
      <c r="E594" s="43" t="n">
        <v>14.6461</v>
      </c>
      <c r="F594" s="44" t="n">
        <v>118</v>
      </c>
      <c r="G594" s="44" t="n">
        <v>932</v>
      </c>
      <c r="H594" s="43" t="n">
        <v>12.8505</v>
      </c>
      <c r="I594" s="43" t="n">
        <v>17.8002</v>
      </c>
      <c r="J594" s="44" t="n">
        <v>323</v>
      </c>
      <c r="K59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4" s="46">
        <f>(Dashboard!$C$13*tblHistory[[#This Row],[NDX S]]+Dashboard!$C$14*tblHistory[[#This Row],[SOX S]]+Dashboard!$C$15*tblHistory[[#This Row],[AIQ S]])/(Dashboard!$C$13+Dashboard!$C$14+Dashboard!$C$15)*100</f>
        <v/>
      </c>
      <c r="U594" s="46">
        <f>(Dashboard!$C$16*tblHistory[[#This Row],[DTCR S]]+Dashboard!$C$17*tblHistory[[#This Row],[BBB S]]+Dashboard!$C$18*tblHistory[[#This Row],[CCC S]])/(Dashboard!$C$16+Dashboard!$C$17+Dashboard!$C$18)*100</f>
        <v/>
      </c>
      <c r="V594" s="46">
        <f>(Dashboard!$C$19*tblHistory[[#This Row],[BIZD S]]+Dashboard!$C$20*tblHistory[[#This Row],[BKLN S]]+Dashboard!$C$21*tblHistory[[#This Row],[HY S]])/(Dashboard!$C$19+Dashboard!$C$20+Dashboard!$C$21)*100</f>
        <v/>
      </c>
      <c r="W59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4" s="46">
        <f>IFERROR(--(tblHistory[[#This Row],[Score]]&gt;=50),0)</f>
        <v/>
      </c>
      <c r="Y594" s="46">
        <f>IFERROR(--AND(tblHistory[[#This Row],[Score]]&gt;=60,OR(AND(tblHistory[[#This Row],[BIZD S]]&gt;=0.8,tblHistory[[#This Row],[BKLN S]]&gt;=0.5),tblHistory[[#This Row],[CCC S]]&gt;=0.8)),0)</f>
        <v/>
      </c>
      <c r="Z594" s="46">
        <f>IFERROR(--AND(tblHistory[[#This Row],[Score]]&gt;=70,tblHistory[[#This Row],[SOX S]]&gt;=0.83,tblHistory[[#This Row],[AIQ S]]&gt;=0.8),0)</f>
        <v/>
      </c>
      <c r="AA59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5">
      <c r="A595" s="42" t="n">
        <v>45461</v>
      </c>
      <c r="B595" s="43" t="n">
        <v>19908.8594</v>
      </c>
      <c r="C595" s="43" t="n">
        <v>5765.1201</v>
      </c>
      <c r="D595" s="43" t="n">
        <v>35.8247</v>
      </c>
      <c r="E595" s="43" t="n">
        <v>14.7331</v>
      </c>
      <c r="F595" s="44" t="n">
        <v>117</v>
      </c>
      <c r="G595" s="44" t="n">
        <v>935</v>
      </c>
      <c r="H595" s="43" t="n">
        <v>12.7902</v>
      </c>
      <c r="I595" s="43" t="n">
        <v>17.7833</v>
      </c>
      <c r="J595" s="44" t="n">
        <v>324</v>
      </c>
      <c r="K59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5" s="46">
        <f>(Dashboard!$C$13*tblHistory[[#This Row],[NDX S]]+Dashboard!$C$14*tblHistory[[#This Row],[SOX S]]+Dashboard!$C$15*tblHistory[[#This Row],[AIQ S]])/(Dashboard!$C$13+Dashboard!$C$14+Dashboard!$C$15)*100</f>
        <v/>
      </c>
      <c r="U595" s="46">
        <f>(Dashboard!$C$16*tblHistory[[#This Row],[DTCR S]]+Dashboard!$C$17*tblHistory[[#This Row],[BBB S]]+Dashboard!$C$18*tblHistory[[#This Row],[CCC S]])/(Dashboard!$C$16+Dashboard!$C$17+Dashboard!$C$18)*100</f>
        <v/>
      </c>
      <c r="V595" s="46">
        <f>(Dashboard!$C$19*tblHistory[[#This Row],[BIZD S]]+Dashboard!$C$20*tblHistory[[#This Row],[BKLN S]]+Dashboard!$C$21*tblHistory[[#This Row],[HY S]])/(Dashboard!$C$19+Dashboard!$C$20+Dashboard!$C$21)*100</f>
        <v/>
      </c>
      <c r="W59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5" s="46">
        <f>IFERROR(--(tblHistory[[#This Row],[Score]]&gt;=50),0)</f>
        <v/>
      </c>
      <c r="Y595" s="46">
        <f>IFERROR(--AND(tblHistory[[#This Row],[Score]]&gt;=60,OR(AND(tblHistory[[#This Row],[BIZD S]]&gt;=0.8,tblHistory[[#This Row],[BKLN S]]&gt;=0.5),tblHistory[[#This Row],[CCC S]]&gt;=0.8)),0)</f>
        <v/>
      </c>
      <c r="Z595" s="46">
        <f>IFERROR(--AND(tblHistory[[#This Row],[Score]]&gt;=70,tblHistory[[#This Row],[SOX S]]&gt;=0.83,tblHistory[[#This Row],[AIQ S]]&gt;=0.8),0)</f>
        <v/>
      </c>
      <c r="AA59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6">
      <c r="A596" s="42" t="n">
        <v>45460</v>
      </c>
      <c r="B596" s="43" t="n">
        <v>19902.75</v>
      </c>
      <c r="C596" s="43" t="n">
        <v>5688.1001</v>
      </c>
      <c r="D596" s="43" t="n">
        <v>35.6652</v>
      </c>
      <c r="E596" s="43" t="n">
        <v>14.6461</v>
      </c>
      <c r="F596" s="44" t="n">
        <v>117</v>
      </c>
      <c r="G596" s="44" t="n">
        <v>936</v>
      </c>
      <c r="H596" s="43" t="n">
        <v>12.843</v>
      </c>
      <c r="I596" s="43" t="n">
        <v>17.7833</v>
      </c>
      <c r="J596" s="44" t="n">
        <v>326</v>
      </c>
      <c r="K59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6" s="46">
        <f>(Dashboard!$C$13*tblHistory[[#This Row],[NDX S]]+Dashboard!$C$14*tblHistory[[#This Row],[SOX S]]+Dashboard!$C$15*tblHistory[[#This Row],[AIQ S]])/(Dashboard!$C$13+Dashboard!$C$14+Dashboard!$C$15)*100</f>
        <v/>
      </c>
      <c r="U596" s="46">
        <f>(Dashboard!$C$16*tblHistory[[#This Row],[DTCR S]]+Dashboard!$C$17*tblHistory[[#This Row],[BBB S]]+Dashboard!$C$18*tblHistory[[#This Row],[CCC S]])/(Dashboard!$C$16+Dashboard!$C$17+Dashboard!$C$18)*100</f>
        <v/>
      </c>
      <c r="V596" s="46">
        <f>(Dashboard!$C$19*tblHistory[[#This Row],[BIZD S]]+Dashboard!$C$20*tblHistory[[#This Row],[BKLN S]]+Dashboard!$C$21*tblHistory[[#This Row],[HY S]])/(Dashboard!$C$19+Dashboard!$C$20+Dashboard!$C$21)*100</f>
        <v/>
      </c>
      <c r="W59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6" s="46">
        <f>IFERROR(--(tblHistory[[#This Row],[Score]]&gt;=50),0)</f>
        <v/>
      </c>
      <c r="Y596" s="46">
        <f>IFERROR(--AND(tblHistory[[#This Row],[Score]]&gt;=60,OR(AND(tblHistory[[#This Row],[BIZD S]]&gt;=0.8,tblHistory[[#This Row],[BKLN S]]&gt;=0.5),tblHistory[[#This Row],[CCC S]]&gt;=0.8)),0)</f>
        <v/>
      </c>
      <c r="Z596" s="46">
        <f>IFERROR(--AND(tblHistory[[#This Row],[Score]]&gt;=70,tblHistory[[#This Row],[SOX S]]&gt;=0.83,tblHistory[[#This Row],[AIQ S]]&gt;=0.8),0)</f>
        <v/>
      </c>
      <c r="AA59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7">
      <c r="A597" s="42" t="n">
        <v>45457</v>
      </c>
      <c r="B597" s="43" t="n">
        <v>19659.8008</v>
      </c>
      <c r="C597" s="43" t="n">
        <v>5598.3101</v>
      </c>
      <c r="D597" s="43" t="n">
        <v>35.2467</v>
      </c>
      <c r="E597" s="43" t="n">
        <v>14.7041</v>
      </c>
      <c r="F597" s="44" t="n">
        <v>117</v>
      </c>
      <c r="G597" s="44" t="n">
        <v>933</v>
      </c>
      <c r="H597" s="43" t="n">
        <v>12.8203</v>
      </c>
      <c r="I597" s="43" t="n">
        <v>17.7497</v>
      </c>
      <c r="J597" s="44" t="n">
        <v>329</v>
      </c>
      <c r="K59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7" s="46">
        <f>(Dashboard!$C$13*tblHistory[[#This Row],[NDX S]]+Dashboard!$C$14*tblHistory[[#This Row],[SOX S]]+Dashboard!$C$15*tblHistory[[#This Row],[AIQ S]])/(Dashboard!$C$13+Dashboard!$C$14+Dashboard!$C$15)*100</f>
        <v/>
      </c>
      <c r="U597" s="46">
        <f>(Dashboard!$C$16*tblHistory[[#This Row],[DTCR S]]+Dashboard!$C$17*tblHistory[[#This Row],[BBB S]]+Dashboard!$C$18*tblHistory[[#This Row],[CCC S]])/(Dashboard!$C$16+Dashboard!$C$17+Dashboard!$C$18)*100</f>
        <v/>
      </c>
      <c r="V597" s="46">
        <f>(Dashboard!$C$19*tblHistory[[#This Row],[BIZD S]]+Dashboard!$C$20*tblHistory[[#This Row],[BKLN S]]+Dashboard!$C$21*tblHistory[[#This Row],[HY S]])/(Dashboard!$C$19+Dashboard!$C$20+Dashboard!$C$21)*100</f>
        <v/>
      </c>
      <c r="W59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7" s="46">
        <f>IFERROR(--(tblHistory[[#This Row],[Score]]&gt;=50),0)</f>
        <v/>
      </c>
      <c r="Y597" s="46">
        <f>IFERROR(--AND(tblHistory[[#This Row],[Score]]&gt;=60,OR(AND(tblHistory[[#This Row],[BIZD S]]&gt;=0.8,tblHistory[[#This Row],[BKLN S]]&gt;=0.5),tblHistory[[#This Row],[CCC S]]&gt;=0.8)),0)</f>
        <v/>
      </c>
      <c r="Z597" s="46">
        <f>IFERROR(--AND(tblHistory[[#This Row],[Score]]&gt;=70,tblHistory[[#This Row],[SOX S]]&gt;=0.83,tblHistory[[#This Row],[AIQ S]]&gt;=0.8),0)</f>
        <v/>
      </c>
      <c r="AA59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8">
      <c r="A598" s="42" t="n">
        <v>45456</v>
      </c>
      <c r="B598" s="43" t="n">
        <v>19576.9199</v>
      </c>
      <c r="C598" s="43" t="n">
        <v>5602.4199</v>
      </c>
      <c r="D598" s="43" t="n">
        <v>35.1271</v>
      </c>
      <c r="E598" s="43" t="n">
        <v>14.7138</v>
      </c>
      <c r="F598" s="44" t="n">
        <v>114</v>
      </c>
      <c r="G598" s="44" t="n">
        <v>918</v>
      </c>
      <c r="H598" s="43" t="n">
        <v>12.8279</v>
      </c>
      <c r="I598" s="43" t="n">
        <v>17.8086</v>
      </c>
      <c r="J598" s="44" t="n">
        <v>320</v>
      </c>
      <c r="K59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8" s="46">
        <f>(Dashboard!$C$13*tblHistory[[#This Row],[NDX S]]+Dashboard!$C$14*tblHistory[[#This Row],[SOX S]]+Dashboard!$C$15*tblHistory[[#This Row],[AIQ S]])/(Dashboard!$C$13+Dashboard!$C$14+Dashboard!$C$15)*100</f>
        <v/>
      </c>
      <c r="U598" s="46">
        <f>(Dashboard!$C$16*tblHistory[[#This Row],[DTCR S]]+Dashboard!$C$17*tblHistory[[#This Row],[BBB S]]+Dashboard!$C$18*tblHistory[[#This Row],[CCC S]])/(Dashboard!$C$16+Dashboard!$C$17+Dashboard!$C$18)*100</f>
        <v/>
      </c>
      <c r="V598" s="46">
        <f>(Dashboard!$C$19*tblHistory[[#This Row],[BIZD S]]+Dashboard!$C$20*tblHistory[[#This Row],[BKLN S]]+Dashboard!$C$21*tblHistory[[#This Row],[HY S]])/(Dashboard!$C$19+Dashboard!$C$20+Dashboard!$C$21)*100</f>
        <v/>
      </c>
      <c r="W59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8" s="46">
        <f>IFERROR(--(tblHistory[[#This Row],[Score]]&gt;=50),0)</f>
        <v/>
      </c>
      <c r="Y598" s="46">
        <f>IFERROR(--AND(tblHistory[[#This Row],[Score]]&gt;=60,OR(AND(tblHistory[[#This Row],[BIZD S]]&gt;=0.8,tblHistory[[#This Row],[BKLN S]]&gt;=0.5),tblHistory[[#This Row],[CCC S]]&gt;=0.8)),0)</f>
        <v/>
      </c>
      <c r="Z598" s="46">
        <f>IFERROR(--AND(tblHistory[[#This Row],[Score]]&gt;=70,tblHistory[[#This Row],[SOX S]]&gt;=0.83,tblHistory[[#This Row],[AIQ S]]&gt;=0.8),0)</f>
        <v/>
      </c>
      <c r="AA59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599">
      <c r="A599" s="42" t="n">
        <v>45455</v>
      </c>
      <c r="B599" s="43" t="n">
        <v>19465.1797</v>
      </c>
      <c r="C599" s="43" t="n">
        <v>5520.8701</v>
      </c>
      <c r="D599" s="43" t="n">
        <v>35.0773</v>
      </c>
      <c r="E599" s="43" t="n">
        <v>14.5106</v>
      </c>
      <c r="F599" s="44" t="n">
        <v>112</v>
      </c>
      <c r="G599" s="44" t="n">
        <v>907</v>
      </c>
      <c r="H599" s="43" t="n">
        <v>12.941</v>
      </c>
      <c r="I599" s="43" t="n">
        <v>17.8254</v>
      </c>
      <c r="J599" s="44" t="n">
        <v>309</v>
      </c>
      <c r="K59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59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59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59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59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59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59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59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59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599" s="46">
        <f>(Dashboard!$C$13*tblHistory[[#This Row],[NDX S]]+Dashboard!$C$14*tblHistory[[#This Row],[SOX S]]+Dashboard!$C$15*tblHistory[[#This Row],[AIQ S]])/(Dashboard!$C$13+Dashboard!$C$14+Dashboard!$C$15)*100</f>
        <v/>
      </c>
      <c r="U599" s="46">
        <f>(Dashboard!$C$16*tblHistory[[#This Row],[DTCR S]]+Dashboard!$C$17*tblHistory[[#This Row],[BBB S]]+Dashboard!$C$18*tblHistory[[#This Row],[CCC S]])/(Dashboard!$C$16+Dashboard!$C$17+Dashboard!$C$18)*100</f>
        <v/>
      </c>
      <c r="V599" s="46">
        <f>(Dashboard!$C$19*tblHistory[[#This Row],[BIZD S]]+Dashboard!$C$20*tblHistory[[#This Row],[BKLN S]]+Dashboard!$C$21*tblHistory[[#This Row],[HY S]])/(Dashboard!$C$19+Dashboard!$C$20+Dashboard!$C$21)*100</f>
        <v/>
      </c>
      <c r="W59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599" s="46">
        <f>IFERROR(--(tblHistory[[#This Row],[Score]]&gt;=50),0)</f>
        <v/>
      </c>
      <c r="Y599" s="46">
        <f>IFERROR(--AND(tblHistory[[#This Row],[Score]]&gt;=60,OR(AND(tblHistory[[#This Row],[BIZD S]]&gt;=0.8,tblHistory[[#This Row],[BKLN S]]&gt;=0.5),tblHistory[[#This Row],[CCC S]]&gt;=0.8)),0)</f>
        <v/>
      </c>
      <c r="Z599" s="46">
        <f>IFERROR(--AND(tblHistory[[#This Row],[Score]]&gt;=70,tblHistory[[#This Row],[SOX S]]&gt;=0.83,tblHistory[[#This Row],[AIQ S]]&gt;=0.8),0)</f>
        <v/>
      </c>
      <c r="AA59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59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59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59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59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0">
      <c r="A600" s="42" t="n">
        <v>45454</v>
      </c>
      <c r="B600" s="43" t="n">
        <v>19210.1797</v>
      </c>
      <c r="C600" s="43" t="n">
        <v>5365.3799</v>
      </c>
      <c r="D600" s="43" t="n">
        <v>34.4495</v>
      </c>
      <c r="E600" s="43" t="n">
        <v>14.4816</v>
      </c>
      <c r="F600" s="44" t="n">
        <v>112</v>
      </c>
      <c r="G600" s="44" t="n">
        <v>925</v>
      </c>
      <c r="H600" s="43" t="n">
        <v>12.9108</v>
      </c>
      <c r="I600" s="43" t="n">
        <v>17.817</v>
      </c>
      <c r="J600" s="44" t="n">
        <v>319</v>
      </c>
      <c r="K60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0" s="46">
        <f>(Dashboard!$C$13*tblHistory[[#This Row],[NDX S]]+Dashboard!$C$14*tblHistory[[#This Row],[SOX S]]+Dashboard!$C$15*tblHistory[[#This Row],[AIQ S]])/(Dashboard!$C$13+Dashboard!$C$14+Dashboard!$C$15)*100</f>
        <v/>
      </c>
      <c r="U600" s="46">
        <f>(Dashboard!$C$16*tblHistory[[#This Row],[DTCR S]]+Dashboard!$C$17*tblHistory[[#This Row],[BBB S]]+Dashboard!$C$18*tblHistory[[#This Row],[CCC S]])/(Dashboard!$C$16+Dashboard!$C$17+Dashboard!$C$18)*100</f>
        <v/>
      </c>
      <c r="V600" s="46">
        <f>(Dashboard!$C$19*tblHistory[[#This Row],[BIZD S]]+Dashboard!$C$20*tblHistory[[#This Row],[BKLN S]]+Dashboard!$C$21*tblHistory[[#This Row],[HY S]])/(Dashboard!$C$19+Dashboard!$C$20+Dashboard!$C$21)*100</f>
        <v/>
      </c>
      <c r="W60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0" s="46">
        <f>IFERROR(--(tblHistory[[#This Row],[Score]]&gt;=50),0)</f>
        <v/>
      </c>
      <c r="Y600" s="46">
        <f>IFERROR(--AND(tblHistory[[#This Row],[Score]]&gt;=60,OR(AND(tblHistory[[#This Row],[BIZD S]]&gt;=0.8,tblHistory[[#This Row],[BKLN S]]&gt;=0.5),tblHistory[[#This Row],[CCC S]]&gt;=0.8)),0)</f>
        <v/>
      </c>
      <c r="Z600" s="46">
        <f>IFERROR(--AND(tblHistory[[#This Row],[Score]]&gt;=70,tblHistory[[#This Row],[SOX S]]&gt;=0.83,tblHistory[[#This Row],[AIQ S]]&gt;=0.8),0)</f>
        <v/>
      </c>
      <c r="AA60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1">
      <c r="A601" s="42" t="n">
        <v>45453</v>
      </c>
      <c r="B601" s="43" t="n">
        <v>19074.6699</v>
      </c>
      <c r="C601" s="43" t="n">
        <v>5362.3999</v>
      </c>
      <c r="D601" s="43" t="n">
        <v>34.3897</v>
      </c>
      <c r="E601" s="43" t="n">
        <v>14.53</v>
      </c>
      <c r="F601" s="44" t="n">
        <v>112</v>
      </c>
      <c r="G601" s="44" t="n">
        <v>920</v>
      </c>
      <c r="H601" s="43" t="n">
        <v>12.9863</v>
      </c>
      <c r="I601" s="43" t="n">
        <v>17.8254</v>
      </c>
      <c r="J601" s="44" t="n">
        <v>315</v>
      </c>
      <c r="K60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1" s="46">
        <f>(Dashboard!$C$13*tblHistory[[#This Row],[NDX S]]+Dashboard!$C$14*tblHistory[[#This Row],[SOX S]]+Dashboard!$C$15*tblHistory[[#This Row],[AIQ S]])/(Dashboard!$C$13+Dashboard!$C$14+Dashboard!$C$15)*100</f>
        <v/>
      </c>
      <c r="U601" s="46">
        <f>(Dashboard!$C$16*tblHistory[[#This Row],[DTCR S]]+Dashboard!$C$17*tblHistory[[#This Row],[BBB S]]+Dashboard!$C$18*tblHistory[[#This Row],[CCC S]])/(Dashboard!$C$16+Dashboard!$C$17+Dashboard!$C$18)*100</f>
        <v/>
      </c>
      <c r="V601" s="46">
        <f>(Dashboard!$C$19*tblHistory[[#This Row],[BIZD S]]+Dashboard!$C$20*tblHistory[[#This Row],[BKLN S]]+Dashboard!$C$21*tblHistory[[#This Row],[HY S]])/(Dashboard!$C$19+Dashboard!$C$20+Dashboard!$C$21)*100</f>
        <v/>
      </c>
      <c r="W60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1" s="46">
        <f>IFERROR(--(tblHistory[[#This Row],[Score]]&gt;=50),0)</f>
        <v/>
      </c>
      <c r="Y601" s="46">
        <f>IFERROR(--AND(tblHistory[[#This Row],[Score]]&gt;=60,OR(AND(tblHistory[[#This Row],[BIZD S]]&gt;=0.8,tblHistory[[#This Row],[BKLN S]]&gt;=0.5),tblHistory[[#This Row],[CCC S]]&gt;=0.8)),0)</f>
        <v/>
      </c>
      <c r="Z601" s="46">
        <f>IFERROR(--AND(tblHistory[[#This Row],[Score]]&gt;=70,tblHistory[[#This Row],[SOX S]]&gt;=0.83,tblHistory[[#This Row],[AIQ S]]&gt;=0.8),0)</f>
        <v/>
      </c>
      <c r="AA60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2">
      <c r="A602" s="42" t="n">
        <v>45450</v>
      </c>
      <c r="B602" s="43" t="n">
        <v>19000.9492</v>
      </c>
      <c r="C602" s="43" t="n">
        <v>5287.2402</v>
      </c>
      <c r="D602" s="43" t="n">
        <v>34.1605</v>
      </c>
      <c r="E602" s="43" t="n">
        <v>14.4081</v>
      </c>
      <c r="F602" s="44" t="n">
        <v>112</v>
      </c>
      <c r="G602" s="44" t="n">
        <v>922</v>
      </c>
      <c r="H602" s="43" t="n">
        <v>13.024</v>
      </c>
      <c r="I602" s="43" t="n">
        <v>17.8086</v>
      </c>
      <c r="J602" s="44" t="n">
        <v>315</v>
      </c>
      <c r="K60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2" s="46">
        <f>(Dashboard!$C$13*tblHistory[[#This Row],[NDX S]]+Dashboard!$C$14*tblHistory[[#This Row],[SOX S]]+Dashboard!$C$15*tblHistory[[#This Row],[AIQ S]])/(Dashboard!$C$13+Dashboard!$C$14+Dashboard!$C$15)*100</f>
        <v/>
      </c>
      <c r="U602" s="46">
        <f>(Dashboard!$C$16*tblHistory[[#This Row],[DTCR S]]+Dashboard!$C$17*tblHistory[[#This Row],[BBB S]]+Dashboard!$C$18*tblHistory[[#This Row],[CCC S]])/(Dashboard!$C$16+Dashboard!$C$17+Dashboard!$C$18)*100</f>
        <v/>
      </c>
      <c r="V602" s="46">
        <f>(Dashboard!$C$19*tblHistory[[#This Row],[BIZD S]]+Dashboard!$C$20*tblHistory[[#This Row],[BKLN S]]+Dashboard!$C$21*tblHistory[[#This Row],[HY S]])/(Dashboard!$C$19+Dashboard!$C$20+Dashboard!$C$21)*100</f>
        <v/>
      </c>
      <c r="W60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2" s="46">
        <f>IFERROR(--(tblHistory[[#This Row],[Score]]&gt;=50),0)</f>
        <v/>
      </c>
      <c r="Y602" s="46">
        <f>IFERROR(--AND(tblHistory[[#This Row],[Score]]&gt;=60,OR(AND(tblHistory[[#This Row],[BIZD S]]&gt;=0.8,tblHistory[[#This Row],[BKLN S]]&gt;=0.5),tblHistory[[#This Row],[CCC S]]&gt;=0.8)),0)</f>
        <v/>
      </c>
      <c r="Z602" s="46">
        <f>IFERROR(--AND(tblHistory[[#This Row],[Score]]&gt;=70,tblHistory[[#This Row],[SOX S]]&gt;=0.83,tblHistory[[#This Row],[AIQ S]]&gt;=0.8),0)</f>
        <v/>
      </c>
      <c r="AA60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3">
      <c r="A603" s="42" t="n">
        <v>45449</v>
      </c>
      <c r="B603" s="43" t="n">
        <v>19021.1895</v>
      </c>
      <c r="C603" s="43" t="n">
        <v>5301.6802</v>
      </c>
      <c r="D603" s="43" t="n">
        <v>34.3398</v>
      </c>
      <c r="E603" s="43" t="n">
        <v>14.53</v>
      </c>
      <c r="F603" s="44" t="n">
        <v>113</v>
      </c>
      <c r="G603" s="44" t="n">
        <v>925</v>
      </c>
      <c r="H603" s="43" t="n">
        <v>12.9787</v>
      </c>
      <c r="I603" s="43" t="n">
        <v>17.8002</v>
      </c>
      <c r="J603" s="44" t="n">
        <v>320</v>
      </c>
      <c r="K60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3" s="46">
        <f>(Dashboard!$C$13*tblHistory[[#This Row],[NDX S]]+Dashboard!$C$14*tblHistory[[#This Row],[SOX S]]+Dashboard!$C$15*tblHistory[[#This Row],[AIQ S]])/(Dashboard!$C$13+Dashboard!$C$14+Dashboard!$C$15)*100</f>
        <v/>
      </c>
      <c r="U603" s="46">
        <f>(Dashboard!$C$16*tblHistory[[#This Row],[DTCR S]]+Dashboard!$C$17*tblHistory[[#This Row],[BBB S]]+Dashboard!$C$18*tblHistory[[#This Row],[CCC S]])/(Dashboard!$C$16+Dashboard!$C$17+Dashboard!$C$18)*100</f>
        <v/>
      </c>
      <c r="V603" s="46">
        <f>(Dashboard!$C$19*tblHistory[[#This Row],[BIZD S]]+Dashboard!$C$20*tblHistory[[#This Row],[BKLN S]]+Dashboard!$C$21*tblHistory[[#This Row],[HY S]])/(Dashboard!$C$19+Dashboard!$C$20+Dashboard!$C$21)*100</f>
        <v/>
      </c>
      <c r="W60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3" s="46">
        <f>IFERROR(--(tblHistory[[#This Row],[Score]]&gt;=50),0)</f>
        <v/>
      </c>
      <c r="Y603" s="46">
        <f>IFERROR(--AND(tblHistory[[#This Row],[Score]]&gt;=60,OR(AND(tblHistory[[#This Row],[BIZD S]]&gt;=0.8,tblHistory[[#This Row],[BKLN S]]&gt;=0.5),tblHistory[[#This Row],[CCC S]]&gt;=0.8)),0)</f>
        <v/>
      </c>
      <c r="Z603" s="46">
        <f>IFERROR(--AND(tblHistory[[#This Row],[Score]]&gt;=70,tblHistory[[#This Row],[SOX S]]&gt;=0.83,tblHistory[[#This Row],[AIQ S]]&gt;=0.8),0)</f>
        <v/>
      </c>
      <c r="AA60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4">
      <c r="A604" s="42" t="n">
        <v>45448</v>
      </c>
      <c r="B604" s="43" t="n">
        <v>19035.0508</v>
      </c>
      <c r="C604" s="43" t="n">
        <v>5347.4399</v>
      </c>
      <c r="D604" s="43" t="n">
        <v>34.3199</v>
      </c>
      <c r="E604" s="43" t="n">
        <v>14.559</v>
      </c>
      <c r="F604" s="44" t="n">
        <v>113</v>
      </c>
      <c r="G604" s="44" t="n">
        <v>933</v>
      </c>
      <c r="H604" s="43" t="n">
        <v>13.0013</v>
      </c>
      <c r="I604" s="43" t="n">
        <v>17.8002</v>
      </c>
      <c r="J604" s="44" t="n">
        <v>320</v>
      </c>
      <c r="K60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4" s="46">
        <f>(Dashboard!$C$13*tblHistory[[#This Row],[NDX S]]+Dashboard!$C$14*tblHistory[[#This Row],[SOX S]]+Dashboard!$C$15*tblHistory[[#This Row],[AIQ S]])/(Dashboard!$C$13+Dashboard!$C$14+Dashboard!$C$15)*100</f>
        <v/>
      </c>
      <c r="U604" s="46">
        <f>(Dashboard!$C$16*tblHistory[[#This Row],[DTCR S]]+Dashboard!$C$17*tblHistory[[#This Row],[BBB S]]+Dashboard!$C$18*tblHistory[[#This Row],[CCC S]])/(Dashboard!$C$16+Dashboard!$C$17+Dashboard!$C$18)*100</f>
        <v/>
      </c>
      <c r="V604" s="46">
        <f>(Dashboard!$C$19*tblHistory[[#This Row],[BIZD S]]+Dashboard!$C$20*tblHistory[[#This Row],[BKLN S]]+Dashboard!$C$21*tblHistory[[#This Row],[HY S]])/(Dashboard!$C$19+Dashboard!$C$20+Dashboard!$C$21)*100</f>
        <v/>
      </c>
      <c r="W60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4" s="46">
        <f>IFERROR(--(tblHistory[[#This Row],[Score]]&gt;=50),0)</f>
        <v/>
      </c>
      <c r="Y604" s="46">
        <f>IFERROR(--AND(tblHistory[[#This Row],[Score]]&gt;=60,OR(AND(tblHistory[[#This Row],[BIZD S]]&gt;=0.8,tblHistory[[#This Row],[BKLN S]]&gt;=0.5),tblHistory[[#This Row],[CCC S]]&gt;=0.8)),0)</f>
        <v/>
      </c>
      <c r="Z604" s="46">
        <f>IFERROR(--AND(tblHistory[[#This Row],[Score]]&gt;=70,tblHistory[[#This Row],[SOX S]]&gt;=0.83,tblHistory[[#This Row],[AIQ S]]&gt;=0.8),0)</f>
        <v/>
      </c>
      <c r="AA60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5">
      <c r="A605" s="42" t="n">
        <v>45447</v>
      </c>
      <c r="B605" s="43" t="n">
        <v>18654.8398</v>
      </c>
      <c r="C605" s="43" t="n">
        <v>5116.27</v>
      </c>
      <c r="D605" s="43" t="n">
        <v>33.5327</v>
      </c>
      <c r="E605" s="43" t="n">
        <v>14.4332</v>
      </c>
      <c r="F605" s="44" t="n">
        <v>111</v>
      </c>
      <c r="G605" s="44" t="n">
        <v>937</v>
      </c>
      <c r="H605" s="43" t="n">
        <v>13.024</v>
      </c>
      <c r="I605" s="43" t="n">
        <v>17.7918</v>
      </c>
      <c r="J605" s="44" t="n">
        <v>322</v>
      </c>
      <c r="K60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5" s="46">
        <f>(Dashboard!$C$13*tblHistory[[#This Row],[NDX S]]+Dashboard!$C$14*tblHistory[[#This Row],[SOX S]]+Dashboard!$C$15*tblHistory[[#This Row],[AIQ S]])/(Dashboard!$C$13+Dashboard!$C$14+Dashboard!$C$15)*100</f>
        <v/>
      </c>
      <c r="U605" s="46">
        <f>(Dashboard!$C$16*tblHistory[[#This Row],[DTCR S]]+Dashboard!$C$17*tblHistory[[#This Row],[BBB S]]+Dashboard!$C$18*tblHistory[[#This Row],[CCC S]])/(Dashboard!$C$16+Dashboard!$C$17+Dashboard!$C$18)*100</f>
        <v/>
      </c>
      <c r="V605" s="46">
        <f>(Dashboard!$C$19*tblHistory[[#This Row],[BIZD S]]+Dashboard!$C$20*tblHistory[[#This Row],[BKLN S]]+Dashboard!$C$21*tblHistory[[#This Row],[HY S]])/(Dashboard!$C$19+Dashboard!$C$20+Dashboard!$C$21)*100</f>
        <v/>
      </c>
      <c r="W60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5" s="46">
        <f>IFERROR(--(tblHistory[[#This Row],[Score]]&gt;=50),0)</f>
        <v/>
      </c>
      <c r="Y605" s="46">
        <f>IFERROR(--AND(tblHistory[[#This Row],[Score]]&gt;=60,OR(AND(tblHistory[[#This Row],[BIZD S]]&gt;=0.8,tblHistory[[#This Row],[BKLN S]]&gt;=0.5),tblHistory[[#This Row],[CCC S]]&gt;=0.8)),0)</f>
        <v/>
      </c>
      <c r="Z605" s="46">
        <f>IFERROR(--AND(tblHistory[[#This Row],[Score]]&gt;=70,tblHistory[[#This Row],[SOX S]]&gt;=0.83,tblHistory[[#This Row],[AIQ S]]&gt;=0.8),0)</f>
        <v/>
      </c>
      <c r="AA60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6">
      <c r="A606" s="42" t="n">
        <v>45446</v>
      </c>
      <c r="B606" s="43" t="n">
        <v>18600.9707</v>
      </c>
      <c r="C606" s="43" t="n">
        <v>5152.5098</v>
      </c>
      <c r="D606" s="43" t="n">
        <v>33.433</v>
      </c>
      <c r="E606" s="43" t="n">
        <v>14.3268</v>
      </c>
      <c r="F606" s="44" t="n">
        <v>110</v>
      </c>
      <c r="G606" s="44" t="n">
        <v>933</v>
      </c>
      <c r="H606" s="43" t="n">
        <v>13.1069</v>
      </c>
      <c r="I606" s="43" t="n">
        <v>17.8002</v>
      </c>
      <c r="J606" s="44" t="n">
        <v>317</v>
      </c>
      <c r="K60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6" s="46">
        <f>(Dashboard!$C$13*tblHistory[[#This Row],[NDX S]]+Dashboard!$C$14*tblHistory[[#This Row],[SOX S]]+Dashboard!$C$15*tblHistory[[#This Row],[AIQ S]])/(Dashboard!$C$13+Dashboard!$C$14+Dashboard!$C$15)*100</f>
        <v/>
      </c>
      <c r="U606" s="46">
        <f>(Dashboard!$C$16*tblHistory[[#This Row],[DTCR S]]+Dashboard!$C$17*tblHistory[[#This Row],[BBB S]]+Dashboard!$C$18*tblHistory[[#This Row],[CCC S]])/(Dashboard!$C$16+Dashboard!$C$17+Dashboard!$C$18)*100</f>
        <v/>
      </c>
      <c r="V606" s="46">
        <f>(Dashboard!$C$19*tblHistory[[#This Row],[BIZD S]]+Dashboard!$C$20*tblHistory[[#This Row],[BKLN S]]+Dashboard!$C$21*tblHistory[[#This Row],[HY S]])/(Dashboard!$C$19+Dashboard!$C$20+Dashboard!$C$21)*100</f>
        <v/>
      </c>
      <c r="W60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6" s="46">
        <f>IFERROR(--(tblHistory[[#This Row],[Score]]&gt;=50),0)</f>
        <v/>
      </c>
      <c r="Y606" s="46">
        <f>IFERROR(--AND(tblHistory[[#This Row],[Score]]&gt;=60,OR(AND(tblHistory[[#This Row],[BIZD S]]&gt;=0.8,tblHistory[[#This Row],[BKLN S]]&gt;=0.5),tblHistory[[#This Row],[CCC S]]&gt;=0.8)),0)</f>
        <v/>
      </c>
      <c r="Z606" s="46">
        <f>IFERROR(--AND(tblHistory[[#This Row],[Score]]&gt;=70,tblHistory[[#This Row],[SOX S]]&gt;=0.83,tblHistory[[#This Row],[AIQ S]]&gt;=0.8),0)</f>
        <v/>
      </c>
      <c r="AA60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7">
      <c r="A607" s="42" t="n">
        <v>45443</v>
      </c>
      <c r="B607" s="43" t="n">
        <v>18536.6504</v>
      </c>
      <c r="C607" s="43" t="n">
        <v>5123.3599</v>
      </c>
      <c r="D607" s="43" t="n">
        <v>33.2437</v>
      </c>
      <c r="E607" s="43" t="n">
        <v>14.3558</v>
      </c>
      <c r="F607" s="44" t="n">
        <v>110</v>
      </c>
      <c r="G607" s="44" t="n">
        <v>934</v>
      </c>
      <c r="H607" s="43" t="n">
        <v>13.0617</v>
      </c>
      <c r="I607" s="43" t="n">
        <v>17.7749</v>
      </c>
      <c r="J607" s="44" t="n">
        <v>320</v>
      </c>
      <c r="K60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7" s="46">
        <f>(Dashboard!$C$13*tblHistory[[#This Row],[NDX S]]+Dashboard!$C$14*tblHistory[[#This Row],[SOX S]]+Dashboard!$C$15*tblHistory[[#This Row],[AIQ S]])/(Dashboard!$C$13+Dashboard!$C$14+Dashboard!$C$15)*100</f>
        <v/>
      </c>
      <c r="U607" s="46">
        <f>(Dashboard!$C$16*tblHistory[[#This Row],[DTCR S]]+Dashboard!$C$17*tblHistory[[#This Row],[BBB S]]+Dashboard!$C$18*tblHistory[[#This Row],[CCC S]])/(Dashboard!$C$16+Dashboard!$C$17+Dashboard!$C$18)*100</f>
        <v/>
      </c>
      <c r="V607" s="46">
        <f>(Dashboard!$C$19*tblHistory[[#This Row],[BIZD S]]+Dashboard!$C$20*tblHistory[[#This Row],[BKLN S]]+Dashboard!$C$21*tblHistory[[#This Row],[HY S]])/(Dashboard!$C$19+Dashboard!$C$20+Dashboard!$C$21)*100</f>
        <v/>
      </c>
      <c r="W60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7" s="46">
        <f>IFERROR(--(tblHistory[[#This Row],[Score]]&gt;=50),0)</f>
        <v/>
      </c>
      <c r="Y607" s="46">
        <f>IFERROR(--AND(tblHistory[[#This Row],[Score]]&gt;=60,OR(AND(tblHistory[[#This Row],[BIZD S]]&gt;=0.8,tblHistory[[#This Row],[BKLN S]]&gt;=0.5),tblHistory[[#This Row],[CCC S]]&gt;=0.8)),0)</f>
        <v/>
      </c>
      <c r="Z607" s="46">
        <f>IFERROR(--AND(tblHistory[[#This Row],[Score]]&gt;=70,tblHistory[[#This Row],[SOX S]]&gt;=0.83,tblHistory[[#This Row],[AIQ S]]&gt;=0.8),0)</f>
        <v/>
      </c>
      <c r="AA60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8">
      <c r="A608" s="42" t="n">
        <v>45442</v>
      </c>
      <c r="B608" s="43" t="n">
        <v>18538.6602</v>
      </c>
      <c r="C608" s="43" t="n">
        <v>5173.2598</v>
      </c>
      <c r="D608" s="43" t="n">
        <v>33.3134</v>
      </c>
      <c r="E608" s="43" t="n">
        <v>14.2755</v>
      </c>
      <c r="F608" s="44" t="n">
        <v>109</v>
      </c>
      <c r="G608" s="44" t="n">
        <v>915</v>
      </c>
      <c r="H608" s="43" t="n">
        <v>12.9335</v>
      </c>
      <c r="I608" s="43" t="n">
        <v>17.7497</v>
      </c>
      <c r="J608" s="44" t="n">
        <v>319</v>
      </c>
      <c r="K60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8" s="46">
        <f>(Dashboard!$C$13*tblHistory[[#This Row],[NDX S]]+Dashboard!$C$14*tblHistory[[#This Row],[SOX S]]+Dashboard!$C$15*tblHistory[[#This Row],[AIQ S]])/(Dashboard!$C$13+Dashboard!$C$14+Dashboard!$C$15)*100</f>
        <v/>
      </c>
      <c r="U608" s="46">
        <f>(Dashboard!$C$16*tblHistory[[#This Row],[DTCR S]]+Dashboard!$C$17*tblHistory[[#This Row],[BBB S]]+Dashboard!$C$18*tblHistory[[#This Row],[CCC S]])/(Dashboard!$C$16+Dashboard!$C$17+Dashboard!$C$18)*100</f>
        <v/>
      </c>
      <c r="V608" s="46">
        <f>(Dashboard!$C$19*tblHistory[[#This Row],[BIZD S]]+Dashboard!$C$20*tblHistory[[#This Row],[BKLN S]]+Dashboard!$C$21*tblHistory[[#This Row],[HY S]])/(Dashboard!$C$19+Dashboard!$C$20+Dashboard!$C$21)*100</f>
        <v/>
      </c>
      <c r="W60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8" s="46">
        <f>IFERROR(--(tblHistory[[#This Row],[Score]]&gt;=50),0)</f>
        <v/>
      </c>
      <c r="Y608" s="46">
        <f>IFERROR(--AND(tblHistory[[#This Row],[Score]]&gt;=60,OR(AND(tblHistory[[#This Row],[BIZD S]]&gt;=0.8,tblHistory[[#This Row],[BKLN S]]&gt;=0.5),tblHistory[[#This Row],[CCC S]]&gt;=0.8)),0)</f>
        <v/>
      </c>
      <c r="Z608" s="46">
        <f>IFERROR(--AND(tblHistory[[#This Row],[Score]]&gt;=70,tblHistory[[#This Row],[SOX S]]&gt;=0.83,tblHistory[[#This Row],[AIQ S]]&gt;=0.8),0)</f>
        <v/>
      </c>
      <c r="AA60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09">
      <c r="A609" s="42" t="n">
        <v>45441</v>
      </c>
      <c r="B609" s="43" t="n">
        <v>18736.75</v>
      </c>
      <c r="C609" s="43" t="n">
        <v>5219.3198</v>
      </c>
      <c r="D609" s="43" t="n">
        <v>34.1206</v>
      </c>
      <c r="E609" s="43" t="n">
        <v>14.1527</v>
      </c>
      <c r="F609" s="44" t="n">
        <v>109</v>
      </c>
      <c r="G609" s="44" t="n">
        <v>909</v>
      </c>
      <c r="H609" s="43" t="n">
        <v>12.8505</v>
      </c>
      <c r="I609" s="43" t="n">
        <v>17.7413</v>
      </c>
      <c r="J609" s="44" t="n">
        <v>315</v>
      </c>
      <c r="K60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0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0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0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0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0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0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0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0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09" s="46">
        <f>(Dashboard!$C$13*tblHistory[[#This Row],[NDX S]]+Dashboard!$C$14*tblHistory[[#This Row],[SOX S]]+Dashboard!$C$15*tblHistory[[#This Row],[AIQ S]])/(Dashboard!$C$13+Dashboard!$C$14+Dashboard!$C$15)*100</f>
        <v/>
      </c>
      <c r="U609" s="46">
        <f>(Dashboard!$C$16*tblHistory[[#This Row],[DTCR S]]+Dashboard!$C$17*tblHistory[[#This Row],[BBB S]]+Dashboard!$C$18*tblHistory[[#This Row],[CCC S]])/(Dashboard!$C$16+Dashboard!$C$17+Dashboard!$C$18)*100</f>
        <v/>
      </c>
      <c r="V609" s="46">
        <f>(Dashboard!$C$19*tblHistory[[#This Row],[BIZD S]]+Dashboard!$C$20*tblHistory[[#This Row],[BKLN S]]+Dashboard!$C$21*tblHistory[[#This Row],[HY S]])/(Dashboard!$C$19+Dashboard!$C$20+Dashboard!$C$21)*100</f>
        <v/>
      </c>
      <c r="W60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09" s="46">
        <f>IFERROR(--(tblHistory[[#This Row],[Score]]&gt;=50),0)</f>
        <v/>
      </c>
      <c r="Y609" s="46">
        <f>IFERROR(--AND(tblHistory[[#This Row],[Score]]&gt;=60,OR(AND(tblHistory[[#This Row],[BIZD S]]&gt;=0.8,tblHistory[[#This Row],[BKLN S]]&gt;=0.5),tblHistory[[#This Row],[CCC S]]&gt;=0.8)),0)</f>
        <v/>
      </c>
      <c r="Z609" s="46">
        <f>IFERROR(--AND(tblHistory[[#This Row],[Score]]&gt;=70,tblHistory[[#This Row],[SOX S]]&gt;=0.83,tblHistory[[#This Row],[AIQ S]]&gt;=0.8),0)</f>
        <v/>
      </c>
      <c r="AA60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0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0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0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0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0">
      <c r="A610" s="42" t="n">
        <v>45440</v>
      </c>
      <c r="B610" s="43" t="n">
        <v>18869.4395</v>
      </c>
      <c r="C610" s="43" t="n">
        <v>5317.8701</v>
      </c>
      <c r="D610" s="43" t="n">
        <v>34.4495</v>
      </c>
      <c r="E610" s="43" t="n">
        <v>14.3075</v>
      </c>
      <c r="F610" s="44" t="n">
        <v>109</v>
      </c>
      <c r="G610" s="44" t="n">
        <v>902</v>
      </c>
      <c r="H610" s="43" t="n">
        <v>12.8656</v>
      </c>
      <c r="I610" s="43" t="n">
        <v>17.7497</v>
      </c>
      <c r="J610" s="44" t="n">
        <v>309</v>
      </c>
      <c r="K61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0" s="46">
        <f>(Dashboard!$C$13*tblHistory[[#This Row],[NDX S]]+Dashboard!$C$14*tblHistory[[#This Row],[SOX S]]+Dashboard!$C$15*tblHistory[[#This Row],[AIQ S]])/(Dashboard!$C$13+Dashboard!$C$14+Dashboard!$C$15)*100</f>
        <v/>
      </c>
      <c r="U610" s="46">
        <f>(Dashboard!$C$16*tblHistory[[#This Row],[DTCR S]]+Dashboard!$C$17*tblHistory[[#This Row],[BBB S]]+Dashboard!$C$18*tblHistory[[#This Row],[CCC S]])/(Dashboard!$C$16+Dashboard!$C$17+Dashboard!$C$18)*100</f>
        <v/>
      </c>
      <c r="V610" s="46">
        <f>(Dashboard!$C$19*tblHistory[[#This Row],[BIZD S]]+Dashboard!$C$20*tblHistory[[#This Row],[BKLN S]]+Dashboard!$C$21*tblHistory[[#This Row],[HY S]])/(Dashboard!$C$19+Dashboard!$C$20+Dashboard!$C$21)*100</f>
        <v/>
      </c>
      <c r="W61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0" s="46">
        <f>IFERROR(--(tblHistory[[#This Row],[Score]]&gt;=50),0)</f>
        <v/>
      </c>
      <c r="Y610" s="46">
        <f>IFERROR(--AND(tblHistory[[#This Row],[Score]]&gt;=60,OR(AND(tblHistory[[#This Row],[BIZD S]]&gt;=0.8,tblHistory[[#This Row],[BKLN S]]&gt;=0.5),tblHistory[[#This Row],[CCC S]]&gt;=0.8)),0)</f>
        <v/>
      </c>
      <c r="Z610" s="46">
        <f>IFERROR(--AND(tblHistory[[#This Row],[Score]]&gt;=70,tblHistory[[#This Row],[SOX S]]&gt;=0.83,tblHistory[[#This Row],[AIQ S]]&gt;=0.8),0)</f>
        <v/>
      </c>
      <c r="AA61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1">
      <c r="A611" s="42" t="n">
        <v>45436</v>
      </c>
      <c r="B611" s="43" t="n">
        <v>18808.3496</v>
      </c>
      <c r="C611" s="43" t="n">
        <v>5220.9199</v>
      </c>
      <c r="D611" s="43" t="n">
        <v>34.2801</v>
      </c>
      <c r="E611" s="43" t="n">
        <v>14.2494</v>
      </c>
      <c r="F611" s="44" t="n">
        <v>110</v>
      </c>
      <c r="G611" s="44" t="n">
        <v>903</v>
      </c>
      <c r="H611" s="43" t="n">
        <v>12.8505</v>
      </c>
      <c r="I611" s="43" t="n">
        <v>17.7497</v>
      </c>
      <c r="J611" s="44" t="n">
        <v>311</v>
      </c>
      <c r="K61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1" s="46">
        <f>(Dashboard!$C$13*tblHistory[[#This Row],[NDX S]]+Dashboard!$C$14*tblHistory[[#This Row],[SOX S]]+Dashboard!$C$15*tblHistory[[#This Row],[AIQ S]])/(Dashboard!$C$13+Dashboard!$C$14+Dashboard!$C$15)*100</f>
        <v/>
      </c>
      <c r="U611" s="46">
        <f>(Dashboard!$C$16*tblHistory[[#This Row],[DTCR S]]+Dashboard!$C$17*tblHistory[[#This Row],[BBB S]]+Dashboard!$C$18*tblHistory[[#This Row],[CCC S]])/(Dashboard!$C$16+Dashboard!$C$17+Dashboard!$C$18)*100</f>
        <v/>
      </c>
      <c r="V611" s="46">
        <f>(Dashboard!$C$19*tblHistory[[#This Row],[BIZD S]]+Dashboard!$C$20*tblHistory[[#This Row],[BKLN S]]+Dashboard!$C$21*tblHistory[[#This Row],[HY S]])/(Dashboard!$C$19+Dashboard!$C$20+Dashboard!$C$21)*100</f>
        <v/>
      </c>
      <c r="W61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1" s="46">
        <f>IFERROR(--(tblHistory[[#This Row],[Score]]&gt;=50),0)</f>
        <v/>
      </c>
      <c r="Y611" s="46">
        <f>IFERROR(--AND(tblHistory[[#This Row],[Score]]&gt;=60,OR(AND(tblHistory[[#This Row],[BIZD S]]&gt;=0.8,tblHistory[[#This Row],[BKLN S]]&gt;=0.5),tblHistory[[#This Row],[CCC S]]&gt;=0.8)),0)</f>
        <v/>
      </c>
      <c r="Z611" s="46">
        <f>IFERROR(--AND(tblHistory[[#This Row],[Score]]&gt;=70,tblHistory[[#This Row],[SOX S]]&gt;=0.83,tblHistory[[#This Row],[AIQ S]]&gt;=0.8),0)</f>
        <v/>
      </c>
      <c r="AA61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2">
      <c r="A612" s="42" t="n">
        <v>45435</v>
      </c>
      <c r="B612" s="43" t="n">
        <v>18623.3906</v>
      </c>
      <c r="C612" s="43" t="n">
        <v>5125.98</v>
      </c>
      <c r="D612" s="43" t="n">
        <v>34.0409</v>
      </c>
      <c r="E612" s="43" t="n">
        <v>14.1769</v>
      </c>
      <c r="F612" s="44" t="n">
        <v>110</v>
      </c>
      <c r="G612" s="44" t="n">
        <v>900</v>
      </c>
      <c r="H612" s="43" t="n">
        <v>12.7299</v>
      </c>
      <c r="I612" s="43" t="n">
        <v>17.7329</v>
      </c>
      <c r="J612" s="44" t="n">
        <v>310</v>
      </c>
      <c r="K61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2" s="46">
        <f>(Dashboard!$C$13*tblHistory[[#This Row],[NDX S]]+Dashboard!$C$14*tblHistory[[#This Row],[SOX S]]+Dashboard!$C$15*tblHistory[[#This Row],[AIQ S]])/(Dashboard!$C$13+Dashboard!$C$14+Dashboard!$C$15)*100</f>
        <v/>
      </c>
      <c r="U612" s="46">
        <f>(Dashboard!$C$16*tblHistory[[#This Row],[DTCR S]]+Dashboard!$C$17*tblHistory[[#This Row],[BBB S]]+Dashboard!$C$18*tblHistory[[#This Row],[CCC S]])/(Dashboard!$C$16+Dashboard!$C$17+Dashboard!$C$18)*100</f>
        <v/>
      </c>
      <c r="V612" s="46">
        <f>(Dashboard!$C$19*tblHistory[[#This Row],[BIZD S]]+Dashboard!$C$20*tblHistory[[#This Row],[BKLN S]]+Dashboard!$C$21*tblHistory[[#This Row],[HY S]])/(Dashboard!$C$19+Dashboard!$C$20+Dashboard!$C$21)*100</f>
        <v/>
      </c>
      <c r="W61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2" s="46">
        <f>IFERROR(--(tblHistory[[#This Row],[Score]]&gt;=50),0)</f>
        <v/>
      </c>
      <c r="Y612" s="46">
        <f>IFERROR(--AND(tblHistory[[#This Row],[Score]]&gt;=60,OR(AND(tblHistory[[#This Row],[BIZD S]]&gt;=0.8,tblHistory[[#This Row],[BKLN S]]&gt;=0.5),tblHistory[[#This Row],[CCC S]]&gt;=0.8)),0)</f>
        <v/>
      </c>
      <c r="Z612" s="46">
        <f>IFERROR(--AND(tblHistory[[#This Row],[Score]]&gt;=70,tblHistory[[#This Row],[SOX S]]&gt;=0.83,tblHistory[[#This Row],[AIQ S]]&gt;=0.8),0)</f>
        <v/>
      </c>
      <c r="AA61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3">
      <c r="A613" s="42" t="n">
        <v>45434</v>
      </c>
      <c r="B613" s="43" t="n">
        <v>18705.1992</v>
      </c>
      <c r="C613" s="43" t="n">
        <v>5126.8101</v>
      </c>
      <c r="D613" s="43" t="n">
        <v>34.2402</v>
      </c>
      <c r="E613" s="43" t="n">
        <v>14.3075</v>
      </c>
      <c r="F613" s="44" t="n">
        <v>111</v>
      </c>
      <c r="G613" s="44" t="n">
        <v>901</v>
      </c>
      <c r="H613" s="43" t="n">
        <v>12.8354</v>
      </c>
      <c r="I613" s="43" t="n">
        <v>17.7413</v>
      </c>
      <c r="J613" s="44" t="n">
        <v>311</v>
      </c>
      <c r="K61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3" s="46">
        <f>(Dashboard!$C$13*tblHistory[[#This Row],[NDX S]]+Dashboard!$C$14*tblHistory[[#This Row],[SOX S]]+Dashboard!$C$15*tblHistory[[#This Row],[AIQ S]])/(Dashboard!$C$13+Dashboard!$C$14+Dashboard!$C$15)*100</f>
        <v/>
      </c>
      <c r="U613" s="46">
        <f>(Dashboard!$C$16*tblHistory[[#This Row],[DTCR S]]+Dashboard!$C$17*tblHistory[[#This Row],[BBB S]]+Dashboard!$C$18*tblHistory[[#This Row],[CCC S]])/(Dashboard!$C$16+Dashboard!$C$17+Dashboard!$C$18)*100</f>
        <v/>
      </c>
      <c r="V613" s="46">
        <f>(Dashboard!$C$19*tblHistory[[#This Row],[BIZD S]]+Dashboard!$C$20*tblHistory[[#This Row],[BKLN S]]+Dashboard!$C$21*tblHistory[[#This Row],[HY S]])/(Dashboard!$C$19+Dashboard!$C$20+Dashboard!$C$21)*100</f>
        <v/>
      </c>
      <c r="W61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3" s="46">
        <f>IFERROR(--(tblHistory[[#This Row],[Score]]&gt;=50),0)</f>
        <v/>
      </c>
      <c r="Y613" s="46">
        <f>IFERROR(--AND(tblHistory[[#This Row],[Score]]&gt;=60,OR(AND(tblHistory[[#This Row],[BIZD S]]&gt;=0.8,tblHistory[[#This Row],[BKLN S]]&gt;=0.5),tblHistory[[#This Row],[CCC S]]&gt;=0.8)),0)</f>
        <v/>
      </c>
      <c r="Z613" s="46">
        <f>IFERROR(--AND(tblHistory[[#This Row],[Score]]&gt;=70,tblHistory[[#This Row],[SOX S]]&gt;=0.83,tblHistory[[#This Row],[AIQ S]]&gt;=0.8),0)</f>
        <v/>
      </c>
      <c r="AA61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4">
      <c r="A614" s="42" t="n">
        <v>45433</v>
      </c>
      <c r="B614" s="43" t="n">
        <v>18713.8008</v>
      </c>
      <c r="C614" s="43" t="n">
        <v>5074.3999</v>
      </c>
      <c r="D614" s="43" t="n">
        <v>34.3398</v>
      </c>
      <c r="E614" s="43" t="n">
        <v>14.5435</v>
      </c>
      <c r="F614" s="44" t="n">
        <v>110</v>
      </c>
      <c r="G614" s="44" t="n">
        <v>898</v>
      </c>
      <c r="H614" s="43" t="n">
        <v>12.9259</v>
      </c>
      <c r="I614" s="43" t="n">
        <v>17.7413</v>
      </c>
      <c r="J614" s="44" t="n">
        <v>307</v>
      </c>
      <c r="K61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4" s="46">
        <f>(Dashboard!$C$13*tblHistory[[#This Row],[NDX S]]+Dashboard!$C$14*tblHistory[[#This Row],[SOX S]]+Dashboard!$C$15*tblHistory[[#This Row],[AIQ S]])/(Dashboard!$C$13+Dashboard!$C$14+Dashboard!$C$15)*100</f>
        <v/>
      </c>
      <c r="U614" s="46">
        <f>(Dashboard!$C$16*tblHistory[[#This Row],[DTCR S]]+Dashboard!$C$17*tblHistory[[#This Row],[BBB S]]+Dashboard!$C$18*tblHistory[[#This Row],[CCC S]])/(Dashboard!$C$16+Dashboard!$C$17+Dashboard!$C$18)*100</f>
        <v/>
      </c>
      <c r="V614" s="46">
        <f>(Dashboard!$C$19*tblHistory[[#This Row],[BIZD S]]+Dashboard!$C$20*tblHistory[[#This Row],[BKLN S]]+Dashboard!$C$21*tblHistory[[#This Row],[HY S]])/(Dashboard!$C$19+Dashboard!$C$20+Dashboard!$C$21)*100</f>
        <v/>
      </c>
      <c r="W61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4" s="46">
        <f>IFERROR(--(tblHistory[[#This Row],[Score]]&gt;=50),0)</f>
        <v/>
      </c>
      <c r="Y614" s="46">
        <f>IFERROR(--AND(tblHistory[[#This Row],[Score]]&gt;=60,OR(AND(tblHistory[[#This Row],[BIZD S]]&gt;=0.8,tblHistory[[#This Row],[BKLN S]]&gt;=0.5),tblHistory[[#This Row],[CCC S]]&gt;=0.8)),0)</f>
        <v/>
      </c>
      <c r="Z614" s="46">
        <f>IFERROR(--AND(tblHistory[[#This Row],[Score]]&gt;=70,tblHistory[[#This Row],[SOX S]]&gt;=0.83,tblHistory[[#This Row],[AIQ S]]&gt;=0.8),0)</f>
        <v/>
      </c>
      <c r="AA61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5">
      <c r="A615" s="42" t="n">
        <v>45432</v>
      </c>
      <c r="B615" s="43" t="n">
        <v>18674.1895</v>
      </c>
      <c r="C615" s="43" t="n">
        <v>5090.3501</v>
      </c>
      <c r="D615" s="43" t="n">
        <v>34.4096</v>
      </c>
      <c r="E615" s="43" t="n">
        <v>14.5735</v>
      </c>
      <c r="F615" s="44" t="n">
        <v>110</v>
      </c>
      <c r="G615" s="44" t="n">
        <v>898</v>
      </c>
      <c r="H615" s="43" t="n">
        <v>12.8807</v>
      </c>
      <c r="I615" s="43" t="n">
        <v>17.7329</v>
      </c>
      <c r="J615" s="44" t="n">
        <v>307</v>
      </c>
      <c r="K61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5" s="46">
        <f>(Dashboard!$C$13*tblHistory[[#This Row],[NDX S]]+Dashboard!$C$14*tblHistory[[#This Row],[SOX S]]+Dashboard!$C$15*tblHistory[[#This Row],[AIQ S]])/(Dashboard!$C$13+Dashboard!$C$14+Dashboard!$C$15)*100</f>
        <v/>
      </c>
      <c r="U615" s="46">
        <f>(Dashboard!$C$16*tblHistory[[#This Row],[DTCR S]]+Dashboard!$C$17*tblHistory[[#This Row],[BBB S]]+Dashboard!$C$18*tblHistory[[#This Row],[CCC S]])/(Dashboard!$C$16+Dashboard!$C$17+Dashboard!$C$18)*100</f>
        <v/>
      </c>
      <c r="V615" s="46">
        <f>(Dashboard!$C$19*tblHistory[[#This Row],[BIZD S]]+Dashboard!$C$20*tblHistory[[#This Row],[BKLN S]]+Dashboard!$C$21*tblHistory[[#This Row],[HY S]])/(Dashboard!$C$19+Dashboard!$C$20+Dashboard!$C$21)*100</f>
        <v/>
      </c>
      <c r="W61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5" s="46">
        <f>IFERROR(--(tblHistory[[#This Row],[Score]]&gt;=50),0)</f>
        <v/>
      </c>
      <c r="Y615" s="46">
        <f>IFERROR(--AND(tblHistory[[#This Row],[Score]]&gt;=60,OR(AND(tblHistory[[#This Row],[BIZD S]]&gt;=0.8,tblHistory[[#This Row],[BKLN S]]&gt;=0.5),tblHistory[[#This Row],[CCC S]]&gt;=0.8)),0)</f>
        <v/>
      </c>
      <c r="Z615" s="46">
        <f>IFERROR(--AND(tblHistory[[#This Row],[Score]]&gt;=70,tblHistory[[#This Row],[SOX S]]&gt;=0.83,tblHistory[[#This Row],[AIQ S]]&gt;=0.8),0)</f>
        <v/>
      </c>
      <c r="AA61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6">
      <c r="A616" s="42" t="n">
        <v>45429</v>
      </c>
      <c r="B616" s="43" t="n">
        <v>18546.2305</v>
      </c>
      <c r="C616" s="43" t="n">
        <v>4983.02</v>
      </c>
      <c r="D616" s="43" t="n">
        <v>34.1804</v>
      </c>
      <c r="E616" s="43" t="n">
        <v>14.588</v>
      </c>
      <c r="F616" s="44" t="n">
        <v>111</v>
      </c>
      <c r="G616" s="44" t="n">
        <v>902</v>
      </c>
      <c r="H616" s="43" t="n">
        <v>12.8354</v>
      </c>
      <c r="I616" s="43" t="n">
        <v>17.727</v>
      </c>
      <c r="J616" s="44" t="n">
        <v>309</v>
      </c>
      <c r="K61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6" s="46">
        <f>(Dashboard!$C$13*tblHistory[[#This Row],[NDX S]]+Dashboard!$C$14*tblHistory[[#This Row],[SOX S]]+Dashboard!$C$15*tblHistory[[#This Row],[AIQ S]])/(Dashboard!$C$13+Dashboard!$C$14+Dashboard!$C$15)*100</f>
        <v/>
      </c>
      <c r="U616" s="46">
        <f>(Dashboard!$C$16*tblHistory[[#This Row],[DTCR S]]+Dashboard!$C$17*tblHistory[[#This Row],[BBB S]]+Dashboard!$C$18*tblHistory[[#This Row],[CCC S]])/(Dashboard!$C$16+Dashboard!$C$17+Dashboard!$C$18)*100</f>
        <v/>
      </c>
      <c r="V616" s="46">
        <f>(Dashboard!$C$19*tblHistory[[#This Row],[BIZD S]]+Dashboard!$C$20*tblHistory[[#This Row],[BKLN S]]+Dashboard!$C$21*tblHistory[[#This Row],[HY S]])/(Dashboard!$C$19+Dashboard!$C$20+Dashboard!$C$21)*100</f>
        <v/>
      </c>
      <c r="W61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6" s="46">
        <f>IFERROR(--(tblHistory[[#This Row],[Score]]&gt;=50),0)</f>
        <v/>
      </c>
      <c r="Y616" s="46">
        <f>IFERROR(--AND(tblHistory[[#This Row],[Score]]&gt;=60,OR(AND(tblHistory[[#This Row],[BIZD S]]&gt;=0.8,tblHistory[[#This Row],[BKLN S]]&gt;=0.5),tblHistory[[#This Row],[CCC S]]&gt;=0.8)),0)</f>
        <v/>
      </c>
      <c r="Z616" s="46">
        <f>IFERROR(--AND(tblHistory[[#This Row],[Score]]&gt;=70,tblHistory[[#This Row],[SOX S]]&gt;=0.83,tblHistory[[#This Row],[AIQ S]]&gt;=0.8),0)</f>
        <v/>
      </c>
      <c r="AA61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7">
      <c r="A617" s="42" t="n">
        <v>45428</v>
      </c>
      <c r="B617" s="43" t="n">
        <v>18557.9609</v>
      </c>
      <c r="C617" s="43" t="n">
        <v>5017.54</v>
      </c>
      <c r="D617" s="43" t="n">
        <v>34.2502</v>
      </c>
      <c r="E617" s="43" t="n">
        <v>14.6267</v>
      </c>
      <c r="F617" s="44" t="n">
        <v>111</v>
      </c>
      <c r="G617" s="44" t="n">
        <v>905</v>
      </c>
      <c r="H617" s="43" t="n">
        <v>12.8053</v>
      </c>
      <c r="I617" s="43" t="n">
        <v>17.7019</v>
      </c>
      <c r="J617" s="44" t="n">
        <v>308</v>
      </c>
      <c r="K61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7" s="46">
        <f>(Dashboard!$C$13*tblHistory[[#This Row],[NDX S]]+Dashboard!$C$14*tblHistory[[#This Row],[SOX S]]+Dashboard!$C$15*tblHistory[[#This Row],[AIQ S]])/(Dashboard!$C$13+Dashboard!$C$14+Dashboard!$C$15)*100</f>
        <v/>
      </c>
      <c r="U617" s="46">
        <f>(Dashboard!$C$16*tblHistory[[#This Row],[DTCR S]]+Dashboard!$C$17*tblHistory[[#This Row],[BBB S]]+Dashboard!$C$18*tblHistory[[#This Row],[CCC S]])/(Dashboard!$C$16+Dashboard!$C$17+Dashboard!$C$18)*100</f>
        <v/>
      </c>
      <c r="V617" s="46">
        <f>(Dashboard!$C$19*tblHistory[[#This Row],[BIZD S]]+Dashboard!$C$20*tblHistory[[#This Row],[BKLN S]]+Dashboard!$C$21*tblHistory[[#This Row],[HY S]])/(Dashboard!$C$19+Dashboard!$C$20+Dashboard!$C$21)*100</f>
        <v/>
      </c>
      <c r="W61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7" s="46">
        <f>IFERROR(--(tblHistory[[#This Row],[Score]]&gt;=50),0)</f>
        <v/>
      </c>
      <c r="Y617" s="46">
        <f>IFERROR(--AND(tblHistory[[#This Row],[Score]]&gt;=60,OR(AND(tblHistory[[#This Row],[BIZD S]]&gt;=0.8,tblHistory[[#This Row],[BKLN S]]&gt;=0.5),tblHistory[[#This Row],[CCC S]]&gt;=0.8)),0)</f>
        <v/>
      </c>
      <c r="Z617" s="46">
        <f>IFERROR(--AND(tblHistory[[#This Row],[Score]]&gt;=70,tblHistory[[#This Row],[SOX S]]&gt;=0.83,tblHistory[[#This Row],[AIQ S]]&gt;=0.8),0)</f>
        <v/>
      </c>
      <c r="AA61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8">
      <c r="A618" s="42" t="n">
        <v>45427</v>
      </c>
      <c r="B618" s="43" t="n">
        <v>18596.6504</v>
      </c>
      <c r="C618" s="43" t="n">
        <v>5045.0801</v>
      </c>
      <c r="D618" s="43" t="n">
        <v>34.3398</v>
      </c>
      <c r="E618" s="43" t="n">
        <v>14.6074</v>
      </c>
      <c r="F618" s="44" t="n">
        <v>112</v>
      </c>
      <c r="G618" s="44" t="n">
        <v>910</v>
      </c>
      <c r="H618" s="43" t="n">
        <v>12.8203</v>
      </c>
      <c r="I618" s="43" t="n">
        <v>17.727</v>
      </c>
      <c r="J618" s="44" t="n">
        <v>313</v>
      </c>
      <c r="K61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8" s="46">
        <f>(Dashboard!$C$13*tblHistory[[#This Row],[NDX S]]+Dashboard!$C$14*tblHistory[[#This Row],[SOX S]]+Dashboard!$C$15*tblHistory[[#This Row],[AIQ S]])/(Dashboard!$C$13+Dashboard!$C$14+Dashboard!$C$15)*100</f>
        <v/>
      </c>
      <c r="U618" s="46">
        <f>(Dashboard!$C$16*tblHistory[[#This Row],[DTCR S]]+Dashboard!$C$17*tblHistory[[#This Row],[BBB S]]+Dashboard!$C$18*tblHistory[[#This Row],[CCC S]])/(Dashboard!$C$16+Dashboard!$C$17+Dashboard!$C$18)*100</f>
        <v/>
      </c>
      <c r="V618" s="46">
        <f>(Dashboard!$C$19*tblHistory[[#This Row],[BIZD S]]+Dashboard!$C$20*tblHistory[[#This Row],[BKLN S]]+Dashboard!$C$21*tblHistory[[#This Row],[HY S]])/(Dashboard!$C$19+Dashboard!$C$20+Dashboard!$C$21)*100</f>
        <v/>
      </c>
      <c r="W61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8" s="46">
        <f>IFERROR(--(tblHistory[[#This Row],[Score]]&gt;=50),0)</f>
        <v/>
      </c>
      <c r="Y618" s="46">
        <f>IFERROR(--AND(tblHistory[[#This Row],[Score]]&gt;=60,OR(AND(tblHistory[[#This Row],[BIZD S]]&gt;=0.8,tblHistory[[#This Row],[BKLN S]]&gt;=0.5),tblHistory[[#This Row],[CCC S]]&gt;=0.8)),0)</f>
        <v/>
      </c>
      <c r="Z618" s="46">
        <f>IFERROR(--AND(tblHistory[[#This Row],[Score]]&gt;=70,tblHistory[[#This Row],[SOX S]]&gt;=0.83,tblHistory[[#This Row],[AIQ S]]&gt;=0.8),0)</f>
        <v/>
      </c>
      <c r="AA61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19">
      <c r="A619" s="42" t="n">
        <v>45426</v>
      </c>
      <c r="B619" s="43" t="n">
        <v>18322.7695</v>
      </c>
      <c r="C619" s="43" t="n">
        <v>4903.9302</v>
      </c>
      <c r="D619" s="43" t="n">
        <v>33.6921</v>
      </c>
      <c r="E619" s="43" t="n">
        <v>14.2107</v>
      </c>
      <c r="F619" s="44" t="n">
        <v>112</v>
      </c>
      <c r="G619" s="44" t="n">
        <v>914</v>
      </c>
      <c r="H619" s="43" t="n">
        <v>12.8958</v>
      </c>
      <c r="I619" s="43" t="n">
        <v>17.727</v>
      </c>
      <c r="J619" s="44" t="n">
        <v>314</v>
      </c>
      <c r="K61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1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1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1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1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1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1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1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1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19" s="46">
        <f>(Dashboard!$C$13*tblHistory[[#This Row],[NDX S]]+Dashboard!$C$14*tblHistory[[#This Row],[SOX S]]+Dashboard!$C$15*tblHistory[[#This Row],[AIQ S]])/(Dashboard!$C$13+Dashboard!$C$14+Dashboard!$C$15)*100</f>
        <v/>
      </c>
      <c r="U619" s="46">
        <f>(Dashboard!$C$16*tblHistory[[#This Row],[DTCR S]]+Dashboard!$C$17*tblHistory[[#This Row],[BBB S]]+Dashboard!$C$18*tblHistory[[#This Row],[CCC S]])/(Dashboard!$C$16+Dashboard!$C$17+Dashboard!$C$18)*100</f>
        <v/>
      </c>
      <c r="V619" s="46">
        <f>(Dashboard!$C$19*tblHistory[[#This Row],[BIZD S]]+Dashboard!$C$20*tblHistory[[#This Row],[BKLN S]]+Dashboard!$C$21*tblHistory[[#This Row],[HY S]])/(Dashboard!$C$19+Dashboard!$C$20+Dashboard!$C$21)*100</f>
        <v/>
      </c>
      <c r="W61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19" s="46">
        <f>IFERROR(--(tblHistory[[#This Row],[Score]]&gt;=50),0)</f>
        <v/>
      </c>
      <c r="Y619" s="46">
        <f>IFERROR(--AND(tblHistory[[#This Row],[Score]]&gt;=60,OR(AND(tblHistory[[#This Row],[BIZD S]]&gt;=0.8,tblHistory[[#This Row],[BKLN S]]&gt;=0.5),tblHistory[[#This Row],[CCC S]]&gt;=0.8)),0)</f>
        <v/>
      </c>
      <c r="Z619" s="46">
        <f>IFERROR(--AND(tblHistory[[#This Row],[Score]]&gt;=70,tblHistory[[#This Row],[SOX S]]&gt;=0.83,tblHistory[[#This Row],[AIQ S]]&gt;=0.8),0)</f>
        <v/>
      </c>
      <c r="AA61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1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1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1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1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0">
      <c r="A620" s="42" t="n">
        <v>45425</v>
      </c>
      <c r="B620" s="43" t="n">
        <v>18198.6094</v>
      </c>
      <c r="C620" s="43" t="n">
        <v>4823.0898</v>
      </c>
      <c r="D620" s="43" t="n">
        <v>33.4729</v>
      </c>
      <c r="E620" s="43" t="n">
        <v>14.1527</v>
      </c>
      <c r="F620" s="44" t="n">
        <v>112</v>
      </c>
      <c r="G620" s="44" t="n">
        <v>922</v>
      </c>
      <c r="H620" s="43" t="n">
        <v>12.8203</v>
      </c>
      <c r="I620" s="43" t="n">
        <v>17.7019</v>
      </c>
      <c r="J620" s="44" t="n">
        <v>314</v>
      </c>
      <c r="K62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0" s="46">
        <f>(Dashboard!$C$13*tblHistory[[#This Row],[NDX S]]+Dashboard!$C$14*tblHistory[[#This Row],[SOX S]]+Dashboard!$C$15*tblHistory[[#This Row],[AIQ S]])/(Dashboard!$C$13+Dashboard!$C$14+Dashboard!$C$15)*100</f>
        <v/>
      </c>
      <c r="U620" s="46">
        <f>(Dashboard!$C$16*tblHistory[[#This Row],[DTCR S]]+Dashboard!$C$17*tblHistory[[#This Row],[BBB S]]+Dashboard!$C$18*tblHistory[[#This Row],[CCC S]])/(Dashboard!$C$16+Dashboard!$C$17+Dashboard!$C$18)*100</f>
        <v/>
      </c>
      <c r="V620" s="46">
        <f>(Dashboard!$C$19*tblHistory[[#This Row],[BIZD S]]+Dashboard!$C$20*tblHistory[[#This Row],[BKLN S]]+Dashboard!$C$21*tblHistory[[#This Row],[HY S]])/(Dashboard!$C$19+Dashboard!$C$20+Dashboard!$C$21)*100</f>
        <v/>
      </c>
      <c r="W62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0" s="46">
        <f>IFERROR(--(tblHistory[[#This Row],[Score]]&gt;=50),0)</f>
        <v/>
      </c>
      <c r="Y620" s="46">
        <f>IFERROR(--AND(tblHistory[[#This Row],[Score]]&gt;=60,OR(AND(tblHistory[[#This Row],[BIZD S]]&gt;=0.8,tblHistory[[#This Row],[BKLN S]]&gt;=0.5),tblHistory[[#This Row],[CCC S]]&gt;=0.8)),0)</f>
        <v/>
      </c>
      <c r="Z620" s="46">
        <f>IFERROR(--AND(tblHistory[[#This Row],[Score]]&gt;=70,tblHistory[[#This Row],[SOX S]]&gt;=0.83,tblHistory[[#This Row],[AIQ S]]&gt;=0.8),0)</f>
        <v/>
      </c>
      <c r="AA62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1">
      <c r="A621" s="42" t="n">
        <v>45422</v>
      </c>
      <c r="B621" s="43" t="n">
        <v>18161.1797</v>
      </c>
      <c r="C621" s="43" t="n">
        <v>4808.0298</v>
      </c>
      <c r="D621" s="43" t="n">
        <v>33.2736</v>
      </c>
      <c r="E621" s="43" t="n">
        <v>14.1333</v>
      </c>
      <c r="F621" s="44" t="n">
        <v>112</v>
      </c>
      <c r="G621" s="44" t="n">
        <v>922</v>
      </c>
      <c r="H621" s="43" t="n">
        <v>12.8581</v>
      </c>
      <c r="I621" s="43" t="n">
        <v>17.7103</v>
      </c>
      <c r="J621" s="44" t="n">
        <v>312</v>
      </c>
      <c r="K62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1" s="46">
        <f>(Dashboard!$C$13*tblHistory[[#This Row],[NDX S]]+Dashboard!$C$14*tblHistory[[#This Row],[SOX S]]+Dashboard!$C$15*tblHistory[[#This Row],[AIQ S]])/(Dashboard!$C$13+Dashboard!$C$14+Dashboard!$C$15)*100</f>
        <v/>
      </c>
      <c r="U621" s="46">
        <f>(Dashboard!$C$16*tblHistory[[#This Row],[DTCR S]]+Dashboard!$C$17*tblHistory[[#This Row],[BBB S]]+Dashboard!$C$18*tblHistory[[#This Row],[CCC S]])/(Dashboard!$C$16+Dashboard!$C$17+Dashboard!$C$18)*100</f>
        <v/>
      </c>
      <c r="V621" s="46">
        <f>(Dashboard!$C$19*tblHistory[[#This Row],[BIZD S]]+Dashboard!$C$20*tblHistory[[#This Row],[BKLN S]]+Dashboard!$C$21*tblHistory[[#This Row],[HY S]])/(Dashboard!$C$19+Dashboard!$C$20+Dashboard!$C$21)*100</f>
        <v/>
      </c>
      <c r="W62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1" s="46">
        <f>IFERROR(--(tblHistory[[#This Row],[Score]]&gt;=50),0)</f>
        <v/>
      </c>
      <c r="Y621" s="46">
        <f>IFERROR(--AND(tblHistory[[#This Row],[Score]]&gt;=60,OR(AND(tblHistory[[#This Row],[BIZD S]]&gt;=0.8,tblHistory[[#This Row],[BKLN S]]&gt;=0.5),tblHistory[[#This Row],[CCC S]]&gt;=0.8)),0)</f>
        <v/>
      </c>
      <c r="Z621" s="46">
        <f>IFERROR(--AND(tblHistory[[#This Row],[Score]]&gt;=70,tblHistory[[#This Row],[SOX S]]&gt;=0.83,tblHistory[[#This Row],[AIQ S]]&gt;=0.8),0)</f>
        <v/>
      </c>
      <c r="AA62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2">
      <c r="A622" s="42" t="n">
        <v>45421</v>
      </c>
      <c r="B622" s="43" t="n">
        <v>18113.4609</v>
      </c>
      <c r="C622" s="43" t="n">
        <v>4759.77</v>
      </c>
      <c r="D622" s="43" t="n">
        <v>33.2437</v>
      </c>
      <c r="E622" s="43" t="n">
        <v>14.2011</v>
      </c>
      <c r="F622" s="44" t="n">
        <v>111</v>
      </c>
      <c r="G622" s="44" t="n">
        <v>920</v>
      </c>
      <c r="H622" s="43" t="n">
        <v>12.8053</v>
      </c>
      <c r="I622" s="43" t="n">
        <v>17.7186</v>
      </c>
      <c r="J622" s="44" t="n">
        <v>314</v>
      </c>
      <c r="K62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2" s="46">
        <f>(Dashboard!$C$13*tblHistory[[#This Row],[NDX S]]+Dashboard!$C$14*tblHistory[[#This Row],[SOX S]]+Dashboard!$C$15*tblHistory[[#This Row],[AIQ S]])/(Dashboard!$C$13+Dashboard!$C$14+Dashboard!$C$15)*100</f>
        <v/>
      </c>
      <c r="U622" s="46">
        <f>(Dashboard!$C$16*tblHistory[[#This Row],[DTCR S]]+Dashboard!$C$17*tblHistory[[#This Row],[BBB S]]+Dashboard!$C$18*tblHistory[[#This Row],[CCC S]])/(Dashboard!$C$16+Dashboard!$C$17+Dashboard!$C$18)*100</f>
        <v/>
      </c>
      <c r="V622" s="46">
        <f>(Dashboard!$C$19*tblHistory[[#This Row],[BIZD S]]+Dashboard!$C$20*tblHistory[[#This Row],[BKLN S]]+Dashboard!$C$21*tblHistory[[#This Row],[HY S]])/(Dashboard!$C$19+Dashboard!$C$20+Dashboard!$C$21)*100</f>
        <v/>
      </c>
      <c r="W62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2" s="46">
        <f>IFERROR(--(tblHistory[[#This Row],[Score]]&gt;=50),0)</f>
        <v/>
      </c>
      <c r="Y622" s="46">
        <f>IFERROR(--AND(tblHistory[[#This Row],[Score]]&gt;=60,OR(AND(tblHistory[[#This Row],[BIZD S]]&gt;=0.8,tblHistory[[#This Row],[BKLN S]]&gt;=0.5),tblHistory[[#This Row],[CCC S]]&gt;=0.8)),0)</f>
        <v/>
      </c>
      <c r="Z622" s="46">
        <f>IFERROR(--AND(tblHistory[[#This Row],[Score]]&gt;=70,tblHistory[[#This Row],[SOX S]]&gt;=0.83,tblHistory[[#This Row],[AIQ S]]&gt;=0.8),0)</f>
        <v/>
      </c>
      <c r="AA62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3">
      <c r="A623" s="42" t="n">
        <v>45420</v>
      </c>
      <c r="B623" s="43" t="n">
        <v>18085.0098</v>
      </c>
      <c r="C623" s="43" t="n">
        <v>4790.3799</v>
      </c>
      <c r="D623" s="43" t="n">
        <v>33.2337</v>
      </c>
      <c r="E623" s="43" t="n">
        <v>13.8867</v>
      </c>
      <c r="F623" s="44" t="n">
        <v>111</v>
      </c>
      <c r="G623" s="44" t="n">
        <v>917</v>
      </c>
      <c r="H623" s="43" t="n">
        <v>12.6997</v>
      </c>
      <c r="I623" s="43" t="n">
        <v>17.6936</v>
      </c>
      <c r="J623" s="44" t="n">
        <v>310</v>
      </c>
      <c r="K62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3" s="46">
        <f>(Dashboard!$C$13*tblHistory[[#This Row],[NDX S]]+Dashboard!$C$14*tblHistory[[#This Row],[SOX S]]+Dashboard!$C$15*tblHistory[[#This Row],[AIQ S]])/(Dashboard!$C$13+Dashboard!$C$14+Dashboard!$C$15)*100</f>
        <v/>
      </c>
      <c r="U623" s="46">
        <f>(Dashboard!$C$16*tblHistory[[#This Row],[DTCR S]]+Dashboard!$C$17*tblHistory[[#This Row],[BBB S]]+Dashboard!$C$18*tblHistory[[#This Row],[CCC S]])/(Dashboard!$C$16+Dashboard!$C$17+Dashboard!$C$18)*100</f>
        <v/>
      </c>
      <c r="V623" s="46">
        <f>(Dashboard!$C$19*tblHistory[[#This Row],[BIZD S]]+Dashboard!$C$20*tblHistory[[#This Row],[BKLN S]]+Dashboard!$C$21*tblHistory[[#This Row],[HY S]])/(Dashboard!$C$19+Dashboard!$C$20+Dashboard!$C$21)*100</f>
        <v/>
      </c>
      <c r="W62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3" s="46">
        <f>IFERROR(--(tblHistory[[#This Row],[Score]]&gt;=50),0)</f>
        <v/>
      </c>
      <c r="Y623" s="46">
        <f>IFERROR(--AND(tblHistory[[#This Row],[Score]]&gt;=60,OR(AND(tblHistory[[#This Row],[BIZD S]]&gt;=0.8,tblHistory[[#This Row],[BKLN S]]&gt;=0.5),tblHistory[[#This Row],[CCC S]]&gt;=0.8)),0)</f>
        <v/>
      </c>
      <c r="Z623" s="46">
        <f>IFERROR(--AND(tblHistory[[#This Row],[Score]]&gt;=70,tblHistory[[#This Row],[SOX S]]&gt;=0.83,tblHistory[[#This Row],[AIQ S]]&gt;=0.8),0)</f>
        <v/>
      </c>
      <c r="AA62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4">
      <c r="A624" s="42" t="n">
        <v>45419</v>
      </c>
      <c r="B624" s="43" t="n">
        <v>18091.4492</v>
      </c>
      <c r="C624" s="43" t="n">
        <v>4784.8799</v>
      </c>
      <c r="D624" s="43" t="n">
        <v>33.433</v>
      </c>
      <c r="E624" s="43" t="n">
        <v>13.9689</v>
      </c>
      <c r="F624" s="44" t="n">
        <v>110</v>
      </c>
      <c r="G624" s="44" t="n">
        <v>909</v>
      </c>
      <c r="H624" s="43" t="n">
        <v>12.7299</v>
      </c>
      <c r="I624" s="43" t="n">
        <v>17.7103</v>
      </c>
      <c r="J624" s="44" t="n">
        <v>306</v>
      </c>
      <c r="K62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4" s="46">
        <f>(Dashboard!$C$13*tblHistory[[#This Row],[NDX S]]+Dashboard!$C$14*tblHistory[[#This Row],[SOX S]]+Dashboard!$C$15*tblHistory[[#This Row],[AIQ S]])/(Dashboard!$C$13+Dashboard!$C$14+Dashboard!$C$15)*100</f>
        <v/>
      </c>
      <c r="U624" s="46">
        <f>(Dashboard!$C$16*tblHistory[[#This Row],[DTCR S]]+Dashboard!$C$17*tblHistory[[#This Row],[BBB S]]+Dashboard!$C$18*tblHistory[[#This Row],[CCC S]])/(Dashboard!$C$16+Dashboard!$C$17+Dashboard!$C$18)*100</f>
        <v/>
      </c>
      <c r="V624" s="46">
        <f>(Dashboard!$C$19*tblHistory[[#This Row],[BIZD S]]+Dashboard!$C$20*tblHistory[[#This Row],[BKLN S]]+Dashboard!$C$21*tblHistory[[#This Row],[HY S]])/(Dashboard!$C$19+Dashboard!$C$20+Dashboard!$C$21)*100</f>
        <v/>
      </c>
      <c r="W62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4" s="46">
        <f>IFERROR(--(tblHistory[[#This Row],[Score]]&gt;=50),0)</f>
        <v/>
      </c>
      <c r="Y624" s="46">
        <f>IFERROR(--AND(tblHistory[[#This Row],[Score]]&gt;=60,OR(AND(tblHistory[[#This Row],[BIZD S]]&gt;=0.8,tblHistory[[#This Row],[BKLN S]]&gt;=0.5),tblHistory[[#This Row],[CCC S]]&gt;=0.8)),0)</f>
        <v/>
      </c>
      <c r="Z624" s="46">
        <f>IFERROR(--AND(tblHistory[[#This Row],[Score]]&gt;=70,tblHistory[[#This Row],[SOX S]]&gt;=0.83,tblHistory[[#This Row],[AIQ S]]&gt;=0.8),0)</f>
        <v/>
      </c>
      <c r="AA62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5">
      <c r="A625" s="42" t="n">
        <v>45418</v>
      </c>
      <c r="B625" s="43" t="n">
        <v>18093.5703</v>
      </c>
      <c r="C625" s="43" t="n">
        <v>4820.4502</v>
      </c>
      <c r="D625" s="43" t="n">
        <v>33.5327</v>
      </c>
      <c r="E625" s="43" t="n">
        <v>13.8528</v>
      </c>
      <c r="F625" s="44" t="n">
        <v>110</v>
      </c>
      <c r="G625" s="44" t="n">
        <v>902</v>
      </c>
      <c r="H625" s="43" t="n">
        <v>12.76</v>
      </c>
      <c r="I625" s="43" t="n">
        <v>17.7103</v>
      </c>
      <c r="J625" s="44" t="n">
        <v>303</v>
      </c>
      <c r="K62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5" s="46">
        <f>(Dashboard!$C$13*tblHistory[[#This Row],[NDX S]]+Dashboard!$C$14*tblHistory[[#This Row],[SOX S]]+Dashboard!$C$15*tblHistory[[#This Row],[AIQ S]])/(Dashboard!$C$13+Dashboard!$C$14+Dashboard!$C$15)*100</f>
        <v/>
      </c>
      <c r="U625" s="46">
        <f>(Dashboard!$C$16*tblHistory[[#This Row],[DTCR S]]+Dashboard!$C$17*tblHistory[[#This Row],[BBB S]]+Dashboard!$C$18*tblHistory[[#This Row],[CCC S]])/(Dashboard!$C$16+Dashboard!$C$17+Dashboard!$C$18)*100</f>
        <v/>
      </c>
      <c r="V625" s="46">
        <f>(Dashboard!$C$19*tblHistory[[#This Row],[BIZD S]]+Dashboard!$C$20*tblHistory[[#This Row],[BKLN S]]+Dashboard!$C$21*tblHistory[[#This Row],[HY S]])/(Dashboard!$C$19+Dashboard!$C$20+Dashboard!$C$21)*100</f>
        <v/>
      </c>
      <c r="W62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5" s="46">
        <f>IFERROR(--(tblHistory[[#This Row],[Score]]&gt;=50),0)</f>
        <v/>
      </c>
      <c r="Y625" s="46">
        <f>IFERROR(--AND(tblHistory[[#This Row],[Score]]&gt;=60,OR(AND(tblHistory[[#This Row],[BIZD S]]&gt;=0.8,tblHistory[[#This Row],[BKLN S]]&gt;=0.5),tblHistory[[#This Row],[CCC S]]&gt;=0.8)),0)</f>
        <v/>
      </c>
      <c r="Z625" s="46">
        <f>IFERROR(--AND(tblHistory[[#This Row],[Score]]&gt;=70,tblHistory[[#This Row],[SOX S]]&gt;=0.83,tblHistory[[#This Row],[AIQ S]]&gt;=0.8),0)</f>
        <v/>
      </c>
      <c r="AA62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6">
      <c r="A626" s="42" t="n">
        <v>45415</v>
      </c>
      <c r="B626" s="43" t="n">
        <v>17890.8008</v>
      </c>
      <c r="C626" s="43" t="n">
        <v>4716.1899</v>
      </c>
      <c r="D626" s="43" t="n">
        <v>33.0244</v>
      </c>
      <c r="E626" s="43" t="n">
        <v>13.9302</v>
      </c>
      <c r="F626" s="44" t="n">
        <v>111</v>
      </c>
      <c r="G626" s="44" t="n">
        <v>904</v>
      </c>
      <c r="H626" s="43" t="n">
        <v>12.5941</v>
      </c>
      <c r="I626" s="43" t="n">
        <v>17.6852</v>
      </c>
      <c r="J626" s="44" t="n">
        <v>308</v>
      </c>
      <c r="K62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6" s="46">
        <f>(Dashboard!$C$13*tblHistory[[#This Row],[NDX S]]+Dashboard!$C$14*tblHistory[[#This Row],[SOX S]]+Dashboard!$C$15*tblHistory[[#This Row],[AIQ S]])/(Dashboard!$C$13+Dashboard!$C$14+Dashboard!$C$15)*100</f>
        <v/>
      </c>
      <c r="U626" s="46">
        <f>(Dashboard!$C$16*tblHistory[[#This Row],[DTCR S]]+Dashboard!$C$17*tblHistory[[#This Row],[BBB S]]+Dashboard!$C$18*tblHistory[[#This Row],[CCC S]])/(Dashboard!$C$16+Dashboard!$C$17+Dashboard!$C$18)*100</f>
        <v/>
      </c>
      <c r="V626" s="46">
        <f>(Dashboard!$C$19*tblHistory[[#This Row],[BIZD S]]+Dashboard!$C$20*tblHistory[[#This Row],[BKLN S]]+Dashboard!$C$21*tblHistory[[#This Row],[HY S]])/(Dashboard!$C$19+Dashboard!$C$20+Dashboard!$C$21)*100</f>
        <v/>
      </c>
      <c r="W62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6" s="46">
        <f>IFERROR(--(tblHistory[[#This Row],[Score]]&gt;=50),0)</f>
        <v/>
      </c>
      <c r="Y626" s="46">
        <f>IFERROR(--AND(tblHistory[[#This Row],[Score]]&gt;=60,OR(AND(tblHistory[[#This Row],[BIZD S]]&gt;=0.8,tblHistory[[#This Row],[BKLN S]]&gt;=0.5),tblHistory[[#This Row],[CCC S]]&gt;=0.8)),0)</f>
        <v/>
      </c>
      <c r="Z626" s="46">
        <f>IFERROR(--AND(tblHistory[[#This Row],[Score]]&gt;=70,tblHistory[[#This Row],[SOX S]]&gt;=0.83,tblHistory[[#This Row],[AIQ S]]&gt;=0.8),0)</f>
        <v/>
      </c>
      <c r="AA62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7">
      <c r="A627" s="42" t="n">
        <v>45414</v>
      </c>
      <c r="B627" s="43" t="n">
        <v>17541.5391</v>
      </c>
      <c r="C627" s="43" t="n">
        <v>4605.3501</v>
      </c>
      <c r="D627" s="43" t="n">
        <v>32.596</v>
      </c>
      <c r="E627" s="43" t="n">
        <v>13.8451</v>
      </c>
      <c r="F627" s="44" t="n">
        <v>113</v>
      </c>
      <c r="G627" s="44" t="n">
        <v>912</v>
      </c>
      <c r="H627" s="43" t="n">
        <v>12.5564</v>
      </c>
      <c r="I627" s="43" t="n">
        <v>17.6434</v>
      </c>
      <c r="J627" s="44" t="n">
        <v>316</v>
      </c>
      <c r="K62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7" s="46">
        <f>(Dashboard!$C$13*tblHistory[[#This Row],[NDX S]]+Dashboard!$C$14*tblHistory[[#This Row],[SOX S]]+Dashboard!$C$15*tblHistory[[#This Row],[AIQ S]])/(Dashboard!$C$13+Dashboard!$C$14+Dashboard!$C$15)*100</f>
        <v/>
      </c>
      <c r="U627" s="46">
        <f>(Dashboard!$C$16*tblHistory[[#This Row],[DTCR S]]+Dashboard!$C$17*tblHistory[[#This Row],[BBB S]]+Dashboard!$C$18*tblHistory[[#This Row],[CCC S]])/(Dashboard!$C$16+Dashboard!$C$17+Dashboard!$C$18)*100</f>
        <v/>
      </c>
      <c r="V627" s="46">
        <f>(Dashboard!$C$19*tblHistory[[#This Row],[BIZD S]]+Dashboard!$C$20*tblHistory[[#This Row],[BKLN S]]+Dashboard!$C$21*tblHistory[[#This Row],[HY S]])/(Dashboard!$C$19+Dashboard!$C$20+Dashboard!$C$21)*100</f>
        <v/>
      </c>
      <c r="W62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7" s="46">
        <f>IFERROR(--(tblHistory[[#This Row],[Score]]&gt;=50),0)</f>
        <v/>
      </c>
      <c r="Y627" s="46">
        <f>IFERROR(--AND(tblHistory[[#This Row],[Score]]&gt;=60,OR(AND(tblHistory[[#This Row],[BIZD S]]&gt;=0.8,tblHistory[[#This Row],[BKLN S]]&gt;=0.5),tblHistory[[#This Row],[CCC S]]&gt;=0.8)),0)</f>
        <v/>
      </c>
      <c r="Z627" s="46">
        <f>IFERROR(--AND(tblHistory[[#This Row],[Score]]&gt;=70,tblHistory[[#This Row],[SOX S]]&gt;=0.83,tblHistory[[#This Row],[AIQ S]]&gt;=0.8),0)</f>
        <v/>
      </c>
      <c r="AA62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8">
      <c r="A628" s="42" t="n">
        <v>45413</v>
      </c>
      <c r="B628" s="43" t="n">
        <v>17318.5508</v>
      </c>
      <c r="C628" s="43" t="n">
        <v>4507.6802</v>
      </c>
      <c r="D628" s="43" t="n">
        <v>31.8585</v>
      </c>
      <c r="E628" s="43" t="n">
        <v>13.5529</v>
      </c>
      <c r="F628" s="44" t="n">
        <v>114</v>
      </c>
      <c r="G628" s="44" t="n">
        <v>921</v>
      </c>
      <c r="H628" s="43" t="n">
        <v>12.6695</v>
      </c>
      <c r="I628" s="43" t="n">
        <v>17.61</v>
      </c>
      <c r="J628" s="44" t="n">
        <v>321</v>
      </c>
      <c r="K62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8" s="46">
        <f>(Dashboard!$C$13*tblHistory[[#This Row],[NDX S]]+Dashboard!$C$14*tblHistory[[#This Row],[SOX S]]+Dashboard!$C$15*tblHistory[[#This Row],[AIQ S]])/(Dashboard!$C$13+Dashboard!$C$14+Dashboard!$C$15)*100</f>
        <v/>
      </c>
      <c r="U628" s="46">
        <f>(Dashboard!$C$16*tblHistory[[#This Row],[DTCR S]]+Dashboard!$C$17*tblHistory[[#This Row],[BBB S]]+Dashboard!$C$18*tblHistory[[#This Row],[CCC S]])/(Dashboard!$C$16+Dashboard!$C$17+Dashboard!$C$18)*100</f>
        <v/>
      </c>
      <c r="V628" s="46">
        <f>(Dashboard!$C$19*tblHistory[[#This Row],[BIZD S]]+Dashboard!$C$20*tblHistory[[#This Row],[BKLN S]]+Dashboard!$C$21*tblHistory[[#This Row],[HY S]])/(Dashboard!$C$19+Dashboard!$C$20+Dashboard!$C$21)*100</f>
        <v/>
      </c>
      <c r="W62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8" s="46">
        <f>IFERROR(--(tblHistory[[#This Row],[Score]]&gt;=50),0)</f>
        <v/>
      </c>
      <c r="Y628" s="46">
        <f>IFERROR(--AND(tblHistory[[#This Row],[Score]]&gt;=60,OR(AND(tblHistory[[#This Row],[BIZD S]]&gt;=0.8,tblHistory[[#This Row],[BKLN S]]&gt;=0.5),tblHistory[[#This Row],[CCC S]]&gt;=0.8)),0)</f>
        <v/>
      </c>
      <c r="Z628" s="46">
        <f>IFERROR(--AND(tblHistory[[#This Row],[Score]]&gt;=70,tblHistory[[#This Row],[SOX S]]&gt;=0.83,tblHistory[[#This Row],[AIQ S]]&gt;=0.8),0)</f>
        <v/>
      </c>
      <c r="AA62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29">
      <c r="A629" s="42" t="n">
        <v>45412</v>
      </c>
      <c r="B629" s="43" t="n">
        <v>17440.6895</v>
      </c>
      <c r="C629" s="43" t="n">
        <v>4673.2998</v>
      </c>
      <c r="D629" s="43" t="n">
        <v>31.9781</v>
      </c>
      <c r="E629" s="43" t="n">
        <v>13.818</v>
      </c>
      <c r="F629" s="44" t="n">
        <v>114</v>
      </c>
      <c r="G629" s="44" t="n">
        <v>916</v>
      </c>
      <c r="H629" s="43" t="n">
        <v>12.5564</v>
      </c>
      <c r="I629" s="43" t="n">
        <v>17.585</v>
      </c>
      <c r="J629" s="44" t="n">
        <v>318</v>
      </c>
      <c r="K62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2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2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2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2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2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2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2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2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29" s="46">
        <f>(Dashboard!$C$13*tblHistory[[#This Row],[NDX S]]+Dashboard!$C$14*tblHistory[[#This Row],[SOX S]]+Dashboard!$C$15*tblHistory[[#This Row],[AIQ S]])/(Dashboard!$C$13+Dashboard!$C$14+Dashboard!$C$15)*100</f>
        <v/>
      </c>
      <c r="U629" s="46">
        <f>(Dashboard!$C$16*tblHistory[[#This Row],[DTCR S]]+Dashboard!$C$17*tblHistory[[#This Row],[BBB S]]+Dashboard!$C$18*tblHistory[[#This Row],[CCC S]])/(Dashboard!$C$16+Dashboard!$C$17+Dashboard!$C$18)*100</f>
        <v/>
      </c>
      <c r="V629" s="46">
        <f>(Dashboard!$C$19*tblHistory[[#This Row],[BIZD S]]+Dashboard!$C$20*tblHistory[[#This Row],[BKLN S]]+Dashboard!$C$21*tblHistory[[#This Row],[HY S]])/(Dashboard!$C$19+Dashboard!$C$20+Dashboard!$C$21)*100</f>
        <v/>
      </c>
      <c r="W62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29" s="46">
        <f>IFERROR(--(tblHistory[[#This Row],[Score]]&gt;=50),0)</f>
        <v/>
      </c>
      <c r="Y629" s="46">
        <f>IFERROR(--AND(tblHistory[[#This Row],[Score]]&gt;=60,OR(AND(tblHistory[[#This Row],[BIZD S]]&gt;=0.8,tblHistory[[#This Row],[BKLN S]]&gt;=0.5),tblHistory[[#This Row],[CCC S]]&gt;=0.8)),0)</f>
        <v/>
      </c>
      <c r="Z629" s="46">
        <f>IFERROR(--AND(tblHistory[[#This Row],[Score]]&gt;=70,tblHistory[[#This Row],[SOX S]]&gt;=0.83,tblHistory[[#This Row],[AIQ S]]&gt;=0.8),0)</f>
        <v/>
      </c>
      <c r="AA62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2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2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2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2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0">
      <c r="A630" s="42" t="n">
        <v>45411</v>
      </c>
      <c r="B630" s="43" t="n">
        <v>17782.7207</v>
      </c>
      <c r="C630" s="43" t="n">
        <v>4765.79</v>
      </c>
      <c r="D630" s="43" t="n">
        <v>32.6458</v>
      </c>
      <c r="E630" s="43" t="n">
        <v>14.0753</v>
      </c>
      <c r="F630" s="44" t="n">
        <v>112</v>
      </c>
      <c r="G630" s="44" t="n">
        <v>882</v>
      </c>
      <c r="H630" s="43" t="n">
        <v>12.662</v>
      </c>
      <c r="I630" s="43" t="n">
        <v>17.6017</v>
      </c>
      <c r="J630" s="44" t="n">
        <v>312</v>
      </c>
      <c r="K63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0" s="46">
        <f>(Dashboard!$C$13*tblHistory[[#This Row],[NDX S]]+Dashboard!$C$14*tblHistory[[#This Row],[SOX S]]+Dashboard!$C$15*tblHistory[[#This Row],[AIQ S]])/(Dashboard!$C$13+Dashboard!$C$14+Dashboard!$C$15)*100</f>
        <v/>
      </c>
      <c r="U630" s="46">
        <f>(Dashboard!$C$16*tblHistory[[#This Row],[DTCR S]]+Dashboard!$C$17*tblHistory[[#This Row],[BBB S]]+Dashboard!$C$18*tblHistory[[#This Row],[CCC S]])/(Dashboard!$C$16+Dashboard!$C$17+Dashboard!$C$18)*100</f>
        <v/>
      </c>
      <c r="V630" s="46">
        <f>(Dashboard!$C$19*tblHistory[[#This Row],[BIZD S]]+Dashboard!$C$20*tblHistory[[#This Row],[BKLN S]]+Dashboard!$C$21*tblHistory[[#This Row],[HY S]])/(Dashboard!$C$19+Dashboard!$C$20+Dashboard!$C$21)*100</f>
        <v/>
      </c>
      <c r="W63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0" s="46">
        <f>IFERROR(--(tblHistory[[#This Row],[Score]]&gt;=50),0)</f>
        <v/>
      </c>
      <c r="Y630" s="46">
        <f>IFERROR(--AND(tblHistory[[#This Row],[Score]]&gt;=60,OR(AND(tblHistory[[#This Row],[BIZD S]]&gt;=0.8,tblHistory[[#This Row],[BKLN S]]&gt;=0.5),tblHistory[[#This Row],[CCC S]]&gt;=0.8)),0)</f>
        <v/>
      </c>
      <c r="Z630" s="46">
        <f>IFERROR(--AND(tblHistory[[#This Row],[Score]]&gt;=70,tblHistory[[#This Row],[SOX S]]&gt;=0.83,tblHistory[[#This Row],[AIQ S]]&gt;=0.8),0)</f>
        <v/>
      </c>
      <c r="AA63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1">
      <c r="A631" s="42" t="n">
        <v>45408</v>
      </c>
      <c r="B631" s="43" t="n">
        <v>17718.3008</v>
      </c>
      <c r="C631" s="43" t="n">
        <v>4735.29</v>
      </c>
      <c r="D631" s="43" t="n">
        <v>32.5362</v>
      </c>
      <c r="E631" s="43" t="n">
        <v>13.9689</v>
      </c>
      <c r="F631" s="44" t="n">
        <v>113</v>
      </c>
      <c r="G631" s="44" t="n">
        <v>891</v>
      </c>
      <c r="H631" s="43" t="n">
        <v>12.6243</v>
      </c>
      <c r="I631" s="43" t="n">
        <v>17.61</v>
      </c>
      <c r="J631" s="44" t="n">
        <v>316</v>
      </c>
      <c r="K63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1" s="46">
        <f>(Dashboard!$C$13*tblHistory[[#This Row],[NDX S]]+Dashboard!$C$14*tblHistory[[#This Row],[SOX S]]+Dashboard!$C$15*tblHistory[[#This Row],[AIQ S]])/(Dashboard!$C$13+Dashboard!$C$14+Dashboard!$C$15)*100</f>
        <v/>
      </c>
      <c r="U631" s="46">
        <f>(Dashboard!$C$16*tblHistory[[#This Row],[DTCR S]]+Dashboard!$C$17*tblHistory[[#This Row],[BBB S]]+Dashboard!$C$18*tblHistory[[#This Row],[CCC S]])/(Dashboard!$C$16+Dashboard!$C$17+Dashboard!$C$18)*100</f>
        <v/>
      </c>
      <c r="V631" s="46">
        <f>(Dashboard!$C$19*tblHistory[[#This Row],[BIZD S]]+Dashboard!$C$20*tblHistory[[#This Row],[BKLN S]]+Dashboard!$C$21*tblHistory[[#This Row],[HY S]])/(Dashboard!$C$19+Dashboard!$C$20+Dashboard!$C$21)*100</f>
        <v/>
      </c>
      <c r="W63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1" s="46">
        <f>IFERROR(--(tblHistory[[#This Row],[Score]]&gt;=50),0)</f>
        <v/>
      </c>
      <c r="Y631" s="46">
        <f>IFERROR(--AND(tblHistory[[#This Row],[Score]]&gt;=60,OR(AND(tblHistory[[#This Row],[BIZD S]]&gt;=0.8,tblHistory[[#This Row],[BKLN S]]&gt;=0.5),tblHistory[[#This Row],[CCC S]]&gt;=0.8)),0)</f>
        <v/>
      </c>
      <c r="Z631" s="46">
        <f>IFERROR(--AND(tblHistory[[#This Row],[Score]]&gt;=70,tblHistory[[#This Row],[SOX S]]&gt;=0.83,tblHistory[[#This Row],[AIQ S]]&gt;=0.8),0)</f>
        <v/>
      </c>
      <c r="AA63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2">
      <c r="A632" s="42" t="n">
        <v>45407</v>
      </c>
      <c r="B632" s="43" t="n">
        <v>17430.5</v>
      </c>
      <c r="C632" s="43" t="n">
        <v>4615.04</v>
      </c>
      <c r="D632" s="43" t="n">
        <v>32.0778</v>
      </c>
      <c r="E632" s="43" t="n">
        <v>13.8335</v>
      </c>
      <c r="F632" s="44" t="n">
        <v>114</v>
      </c>
      <c r="G632" s="44" t="n">
        <v>901</v>
      </c>
      <c r="H632" s="43" t="n">
        <v>12.5112</v>
      </c>
      <c r="I632" s="43" t="n">
        <v>17.5682</v>
      </c>
      <c r="J632" s="44" t="n">
        <v>324</v>
      </c>
      <c r="K63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2" s="46">
        <f>(Dashboard!$C$13*tblHistory[[#This Row],[NDX S]]+Dashboard!$C$14*tblHistory[[#This Row],[SOX S]]+Dashboard!$C$15*tblHistory[[#This Row],[AIQ S]])/(Dashboard!$C$13+Dashboard!$C$14+Dashboard!$C$15)*100</f>
        <v/>
      </c>
      <c r="U632" s="46">
        <f>(Dashboard!$C$16*tblHistory[[#This Row],[DTCR S]]+Dashboard!$C$17*tblHistory[[#This Row],[BBB S]]+Dashboard!$C$18*tblHistory[[#This Row],[CCC S]])/(Dashboard!$C$16+Dashboard!$C$17+Dashboard!$C$18)*100</f>
        <v/>
      </c>
      <c r="V632" s="46">
        <f>(Dashboard!$C$19*tblHistory[[#This Row],[BIZD S]]+Dashboard!$C$20*tblHistory[[#This Row],[BKLN S]]+Dashboard!$C$21*tblHistory[[#This Row],[HY S]])/(Dashboard!$C$19+Dashboard!$C$20+Dashboard!$C$21)*100</f>
        <v/>
      </c>
      <c r="W63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2" s="46">
        <f>IFERROR(--(tblHistory[[#This Row],[Score]]&gt;=50),0)</f>
        <v/>
      </c>
      <c r="Y632" s="46">
        <f>IFERROR(--AND(tblHistory[[#This Row],[Score]]&gt;=60,OR(AND(tblHistory[[#This Row],[BIZD S]]&gt;=0.8,tblHistory[[#This Row],[BKLN S]]&gt;=0.5),tblHistory[[#This Row],[CCC S]]&gt;=0.8)),0)</f>
        <v/>
      </c>
      <c r="Z632" s="46">
        <f>IFERROR(--AND(tblHistory[[#This Row],[Score]]&gt;=70,tblHistory[[#This Row],[SOX S]]&gt;=0.83,tblHistory[[#This Row],[AIQ S]]&gt;=0.8),0)</f>
        <v/>
      </c>
      <c r="AA63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3">
      <c r="A633" s="42" t="n">
        <v>45406</v>
      </c>
      <c r="B633" s="43" t="n">
        <v>17526.8008</v>
      </c>
      <c r="C633" s="43" t="n">
        <v>4526.2002</v>
      </c>
      <c r="D633" s="43" t="n">
        <v>32.3468</v>
      </c>
      <c r="E633" s="43" t="n">
        <v>13.8335</v>
      </c>
      <c r="F633" s="44" t="n">
        <v>114</v>
      </c>
      <c r="G633" s="44" t="n">
        <v>893</v>
      </c>
      <c r="H633" s="43" t="n">
        <v>12.5941</v>
      </c>
      <c r="I633" s="43" t="n">
        <v>17.6017</v>
      </c>
      <c r="J633" s="44" t="n">
        <v>319</v>
      </c>
      <c r="K63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3" s="46">
        <f>(Dashboard!$C$13*tblHistory[[#This Row],[NDX S]]+Dashboard!$C$14*tblHistory[[#This Row],[SOX S]]+Dashboard!$C$15*tblHistory[[#This Row],[AIQ S]])/(Dashboard!$C$13+Dashboard!$C$14+Dashboard!$C$15)*100</f>
        <v/>
      </c>
      <c r="U633" s="46">
        <f>(Dashboard!$C$16*tblHistory[[#This Row],[DTCR S]]+Dashboard!$C$17*tblHistory[[#This Row],[BBB S]]+Dashboard!$C$18*tblHistory[[#This Row],[CCC S]])/(Dashboard!$C$16+Dashboard!$C$17+Dashboard!$C$18)*100</f>
        <v/>
      </c>
      <c r="V633" s="46">
        <f>(Dashboard!$C$19*tblHistory[[#This Row],[BIZD S]]+Dashboard!$C$20*tblHistory[[#This Row],[BKLN S]]+Dashboard!$C$21*tblHistory[[#This Row],[HY S]])/(Dashboard!$C$19+Dashboard!$C$20+Dashboard!$C$21)*100</f>
        <v/>
      </c>
      <c r="W63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3" s="46">
        <f>IFERROR(--(tblHistory[[#This Row],[Score]]&gt;=50),0)</f>
        <v/>
      </c>
      <c r="Y633" s="46">
        <f>IFERROR(--AND(tblHistory[[#This Row],[Score]]&gt;=60,OR(AND(tblHistory[[#This Row],[BIZD S]]&gt;=0.8,tblHistory[[#This Row],[BKLN S]]&gt;=0.5),tblHistory[[#This Row],[CCC S]]&gt;=0.8)),0)</f>
        <v/>
      </c>
      <c r="Z633" s="46">
        <f>IFERROR(--AND(tblHistory[[#This Row],[Score]]&gt;=70,tblHistory[[#This Row],[SOX S]]&gt;=0.83,tblHistory[[#This Row],[AIQ S]]&gt;=0.8),0)</f>
        <v/>
      </c>
      <c r="AA63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4">
      <c r="A634" s="42" t="n">
        <v>45405</v>
      </c>
      <c r="B634" s="43" t="n">
        <v>17471.4707</v>
      </c>
      <c r="C634" s="43" t="n">
        <v>4478.7998</v>
      </c>
      <c r="D634" s="43" t="n">
        <v>32.2173</v>
      </c>
      <c r="E634" s="43" t="n">
        <v>13.8093</v>
      </c>
      <c r="F634" s="44" t="n">
        <v>114</v>
      </c>
      <c r="G634" s="44" t="n">
        <v>898</v>
      </c>
      <c r="H634" s="43" t="n">
        <v>12.579</v>
      </c>
      <c r="I634" s="43" t="n">
        <v>17.5933</v>
      </c>
      <c r="J634" s="44" t="n">
        <v>320</v>
      </c>
      <c r="K63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4" s="46">
        <f>(Dashboard!$C$13*tblHistory[[#This Row],[NDX S]]+Dashboard!$C$14*tblHistory[[#This Row],[SOX S]]+Dashboard!$C$15*tblHistory[[#This Row],[AIQ S]])/(Dashboard!$C$13+Dashboard!$C$14+Dashboard!$C$15)*100</f>
        <v/>
      </c>
      <c r="U634" s="46">
        <f>(Dashboard!$C$16*tblHistory[[#This Row],[DTCR S]]+Dashboard!$C$17*tblHistory[[#This Row],[BBB S]]+Dashboard!$C$18*tblHistory[[#This Row],[CCC S]])/(Dashboard!$C$16+Dashboard!$C$17+Dashboard!$C$18)*100</f>
        <v/>
      </c>
      <c r="V634" s="46">
        <f>(Dashboard!$C$19*tblHistory[[#This Row],[BIZD S]]+Dashboard!$C$20*tblHistory[[#This Row],[BKLN S]]+Dashboard!$C$21*tblHistory[[#This Row],[HY S]])/(Dashboard!$C$19+Dashboard!$C$20+Dashboard!$C$21)*100</f>
        <v/>
      </c>
      <c r="W63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4" s="46">
        <f>IFERROR(--(tblHistory[[#This Row],[Score]]&gt;=50),0)</f>
        <v/>
      </c>
      <c r="Y634" s="46">
        <f>IFERROR(--AND(tblHistory[[#This Row],[Score]]&gt;=60,OR(AND(tblHistory[[#This Row],[BIZD S]]&gt;=0.8,tblHistory[[#This Row],[BKLN S]]&gt;=0.5),tblHistory[[#This Row],[CCC S]]&gt;=0.8)),0)</f>
        <v/>
      </c>
      <c r="Z634" s="46">
        <f>IFERROR(--AND(tblHistory[[#This Row],[Score]]&gt;=70,tblHistory[[#This Row],[SOX S]]&gt;=0.83,tblHistory[[#This Row],[AIQ S]]&gt;=0.8),0)</f>
        <v/>
      </c>
      <c r="AA63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5">
      <c r="A635" s="42" t="n">
        <v>45404</v>
      </c>
      <c r="B635" s="43" t="n">
        <v>17210.8906</v>
      </c>
      <c r="C635" s="43" t="n">
        <v>4381.9199</v>
      </c>
      <c r="D635" s="43" t="n">
        <v>31.6692</v>
      </c>
      <c r="E635" s="43" t="n">
        <v>13.4949</v>
      </c>
      <c r="F635" s="44" t="n">
        <v>116</v>
      </c>
      <c r="G635" s="44" t="n">
        <v>911</v>
      </c>
      <c r="H635" s="43" t="n">
        <v>12.5187</v>
      </c>
      <c r="I635" s="43" t="n">
        <v>17.5432</v>
      </c>
      <c r="J635" s="44" t="n">
        <v>329</v>
      </c>
      <c r="K63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5" s="46">
        <f>(Dashboard!$C$13*tblHistory[[#This Row],[NDX S]]+Dashboard!$C$14*tblHistory[[#This Row],[SOX S]]+Dashboard!$C$15*tblHistory[[#This Row],[AIQ S]])/(Dashboard!$C$13+Dashboard!$C$14+Dashboard!$C$15)*100</f>
        <v/>
      </c>
      <c r="U635" s="46">
        <f>(Dashboard!$C$16*tblHistory[[#This Row],[DTCR S]]+Dashboard!$C$17*tblHistory[[#This Row],[BBB S]]+Dashboard!$C$18*tblHistory[[#This Row],[CCC S]])/(Dashboard!$C$16+Dashboard!$C$17+Dashboard!$C$18)*100</f>
        <v/>
      </c>
      <c r="V635" s="46">
        <f>(Dashboard!$C$19*tblHistory[[#This Row],[BIZD S]]+Dashboard!$C$20*tblHistory[[#This Row],[BKLN S]]+Dashboard!$C$21*tblHistory[[#This Row],[HY S]])/(Dashboard!$C$19+Dashboard!$C$20+Dashboard!$C$21)*100</f>
        <v/>
      </c>
      <c r="W63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5" s="46">
        <f>IFERROR(--(tblHistory[[#This Row],[Score]]&gt;=50),0)</f>
        <v/>
      </c>
      <c r="Y635" s="46">
        <f>IFERROR(--AND(tblHistory[[#This Row],[Score]]&gt;=60,OR(AND(tblHistory[[#This Row],[BIZD S]]&gt;=0.8,tblHistory[[#This Row],[BKLN S]]&gt;=0.5),tblHistory[[#This Row],[CCC S]]&gt;=0.8)),0)</f>
        <v/>
      </c>
      <c r="Z635" s="46">
        <f>IFERROR(--AND(tblHistory[[#This Row],[Score]]&gt;=70,tblHistory[[#This Row],[SOX S]]&gt;=0.83,tblHistory[[#This Row],[AIQ S]]&gt;=0.8),0)</f>
        <v/>
      </c>
      <c r="AA63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6">
      <c r="A636" s="42" t="n">
        <v>45401</v>
      </c>
      <c r="B636" s="43" t="n">
        <v>17037.6504</v>
      </c>
      <c r="C636" s="43" t="n">
        <v>4306.8701</v>
      </c>
      <c r="D636" s="43" t="n">
        <v>31.3503</v>
      </c>
      <c r="E636" s="43" t="n">
        <v>13.4214</v>
      </c>
      <c r="F636" s="44" t="n">
        <v>117</v>
      </c>
      <c r="G636" s="44" t="n">
        <v>916</v>
      </c>
      <c r="H636" s="43" t="n">
        <v>12.4131</v>
      </c>
      <c r="I636" s="43" t="n">
        <v>17.5039</v>
      </c>
      <c r="J636" s="44" t="n">
        <v>337</v>
      </c>
      <c r="K63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6" s="46">
        <f>(Dashboard!$C$13*tblHistory[[#This Row],[NDX S]]+Dashboard!$C$14*tblHistory[[#This Row],[SOX S]]+Dashboard!$C$15*tblHistory[[#This Row],[AIQ S]])/(Dashboard!$C$13+Dashboard!$C$14+Dashboard!$C$15)*100</f>
        <v/>
      </c>
      <c r="U636" s="46">
        <f>(Dashboard!$C$16*tblHistory[[#This Row],[DTCR S]]+Dashboard!$C$17*tblHistory[[#This Row],[BBB S]]+Dashboard!$C$18*tblHistory[[#This Row],[CCC S]])/(Dashboard!$C$16+Dashboard!$C$17+Dashboard!$C$18)*100</f>
        <v/>
      </c>
      <c r="V636" s="46">
        <f>(Dashboard!$C$19*tblHistory[[#This Row],[BIZD S]]+Dashboard!$C$20*tblHistory[[#This Row],[BKLN S]]+Dashboard!$C$21*tblHistory[[#This Row],[HY S]])/(Dashboard!$C$19+Dashboard!$C$20+Dashboard!$C$21)*100</f>
        <v/>
      </c>
      <c r="W63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6" s="46">
        <f>IFERROR(--(tblHistory[[#This Row],[Score]]&gt;=50),0)</f>
        <v/>
      </c>
      <c r="Y636" s="46">
        <f>IFERROR(--AND(tblHistory[[#This Row],[Score]]&gt;=60,OR(AND(tblHistory[[#This Row],[BIZD S]]&gt;=0.8,tblHistory[[#This Row],[BKLN S]]&gt;=0.5),tblHistory[[#This Row],[CCC S]]&gt;=0.8)),0)</f>
        <v/>
      </c>
      <c r="Z636" s="46">
        <f>IFERROR(--AND(tblHistory[[#This Row],[Score]]&gt;=70,tblHistory[[#This Row],[SOX S]]&gt;=0.83,tblHistory[[#This Row],[AIQ S]]&gt;=0.8),0)</f>
        <v/>
      </c>
      <c r="AA63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7">
      <c r="A637" s="42" t="n">
        <v>45400</v>
      </c>
      <c r="B637" s="43" t="n">
        <v>17394.3105</v>
      </c>
      <c r="C637" s="43" t="n">
        <v>4491.71</v>
      </c>
      <c r="D637" s="43" t="n">
        <v>32.1376</v>
      </c>
      <c r="E637" s="43" t="n">
        <v>13.6642</v>
      </c>
      <c r="F637" s="44" t="n">
        <v>117</v>
      </c>
      <c r="G637" s="44" t="n">
        <v>916</v>
      </c>
      <c r="H637" s="43" t="n">
        <v>12.3377</v>
      </c>
      <c r="I637" s="43" t="n">
        <v>17.5122</v>
      </c>
      <c r="J637" s="44" t="n">
        <v>339</v>
      </c>
      <c r="K63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7" s="46">
        <f>(Dashboard!$C$13*tblHistory[[#This Row],[NDX S]]+Dashboard!$C$14*tblHistory[[#This Row],[SOX S]]+Dashboard!$C$15*tblHistory[[#This Row],[AIQ S]])/(Dashboard!$C$13+Dashboard!$C$14+Dashboard!$C$15)*100</f>
        <v/>
      </c>
      <c r="U637" s="46">
        <f>(Dashboard!$C$16*tblHistory[[#This Row],[DTCR S]]+Dashboard!$C$17*tblHistory[[#This Row],[BBB S]]+Dashboard!$C$18*tblHistory[[#This Row],[CCC S]])/(Dashboard!$C$16+Dashboard!$C$17+Dashboard!$C$18)*100</f>
        <v/>
      </c>
      <c r="V637" s="46">
        <f>(Dashboard!$C$19*tblHistory[[#This Row],[BIZD S]]+Dashboard!$C$20*tblHistory[[#This Row],[BKLN S]]+Dashboard!$C$21*tblHistory[[#This Row],[HY S]])/(Dashboard!$C$19+Dashboard!$C$20+Dashboard!$C$21)*100</f>
        <v/>
      </c>
      <c r="W63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7" s="46">
        <f>IFERROR(--(tblHistory[[#This Row],[Score]]&gt;=50),0)</f>
        <v/>
      </c>
      <c r="Y637" s="46">
        <f>IFERROR(--AND(tblHistory[[#This Row],[Score]]&gt;=60,OR(AND(tblHistory[[#This Row],[BIZD S]]&gt;=0.8,tblHistory[[#This Row],[BKLN S]]&gt;=0.5),tblHistory[[#This Row],[CCC S]]&gt;=0.8)),0)</f>
        <v/>
      </c>
      <c r="Z637" s="46">
        <f>IFERROR(--AND(tblHistory[[#This Row],[Score]]&gt;=70,tblHistory[[#This Row],[SOX S]]&gt;=0.83,tblHistory[[#This Row],[AIQ S]]&gt;=0.8),0)</f>
        <v/>
      </c>
      <c r="AA63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8">
      <c r="A638" s="42" t="n">
        <v>45399</v>
      </c>
      <c r="B638" s="43" t="n">
        <v>17493.6191</v>
      </c>
      <c r="C638" s="43" t="n">
        <v>4567.3101</v>
      </c>
      <c r="D638" s="43" t="n">
        <v>32.307</v>
      </c>
      <c r="E638" s="43" t="n">
        <v>13.7077</v>
      </c>
      <c r="F638" s="44" t="n">
        <v>117</v>
      </c>
      <c r="G638" s="44" t="n">
        <v>918</v>
      </c>
      <c r="H638" s="43" t="n">
        <v>12.2547</v>
      </c>
      <c r="I638" s="43" t="n">
        <v>17.4873</v>
      </c>
      <c r="J638" s="44" t="n">
        <v>342</v>
      </c>
      <c r="K63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8" s="46">
        <f>(Dashboard!$C$13*tblHistory[[#This Row],[NDX S]]+Dashboard!$C$14*tblHistory[[#This Row],[SOX S]]+Dashboard!$C$15*tblHistory[[#This Row],[AIQ S]])/(Dashboard!$C$13+Dashboard!$C$14+Dashboard!$C$15)*100</f>
        <v/>
      </c>
      <c r="U638" s="46">
        <f>(Dashboard!$C$16*tblHistory[[#This Row],[DTCR S]]+Dashboard!$C$17*tblHistory[[#This Row],[BBB S]]+Dashboard!$C$18*tblHistory[[#This Row],[CCC S]])/(Dashboard!$C$16+Dashboard!$C$17+Dashboard!$C$18)*100</f>
        <v/>
      </c>
      <c r="V638" s="46">
        <f>(Dashboard!$C$19*tblHistory[[#This Row],[BIZD S]]+Dashboard!$C$20*tblHistory[[#This Row],[BKLN S]]+Dashboard!$C$21*tblHistory[[#This Row],[HY S]])/(Dashboard!$C$19+Dashboard!$C$20+Dashboard!$C$21)*100</f>
        <v/>
      </c>
      <c r="W63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8" s="46">
        <f>IFERROR(--(tblHistory[[#This Row],[Score]]&gt;=50),0)</f>
        <v/>
      </c>
      <c r="Y638" s="46">
        <f>IFERROR(--AND(tblHistory[[#This Row],[Score]]&gt;=60,OR(AND(tblHistory[[#This Row],[BIZD S]]&gt;=0.8,tblHistory[[#This Row],[BKLN S]]&gt;=0.5),tblHistory[[#This Row],[CCC S]]&gt;=0.8)),0)</f>
        <v/>
      </c>
      <c r="Z638" s="46">
        <f>IFERROR(--AND(tblHistory[[#This Row],[Score]]&gt;=70,tblHistory[[#This Row],[SOX S]]&gt;=0.83,tblHistory[[#This Row],[AIQ S]]&gt;=0.8),0)</f>
        <v/>
      </c>
      <c r="AA63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39">
      <c r="A639" s="42" t="n">
        <v>45398</v>
      </c>
      <c r="B639" s="43" t="n">
        <v>17713.6602</v>
      </c>
      <c r="C639" s="43" t="n">
        <v>4720.5298</v>
      </c>
      <c r="D639" s="43" t="n">
        <v>32.6757</v>
      </c>
      <c r="E639" s="43" t="n">
        <v>13.7851</v>
      </c>
      <c r="F639" s="44" t="n">
        <v>117</v>
      </c>
      <c r="G639" s="44" t="n">
        <v>910</v>
      </c>
      <c r="H639" s="43" t="n">
        <v>12.1944</v>
      </c>
      <c r="I639" s="43" t="n">
        <v>17.479</v>
      </c>
      <c r="J639" s="44" t="n">
        <v>336</v>
      </c>
      <c r="K63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3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3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3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3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3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3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3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3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39" s="46">
        <f>(Dashboard!$C$13*tblHistory[[#This Row],[NDX S]]+Dashboard!$C$14*tblHistory[[#This Row],[SOX S]]+Dashboard!$C$15*tblHistory[[#This Row],[AIQ S]])/(Dashboard!$C$13+Dashboard!$C$14+Dashboard!$C$15)*100</f>
        <v/>
      </c>
      <c r="U639" s="46">
        <f>(Dashboard!$C$16*tblHistory[[#This Row],[DTCR S]]+Dashboard!$C$17*tblHistory[[#This Row],[BBB S]]+Dashboard!$C$18*tblHistory[[#This Row],[CCC S]])/(Dashboard!$C$16+Dashboard!$C$17+Dashboard!$C$18)*100</f>
        <v/>
      </c>
      <c r="V639" s="46">
        <f>(Dashboard!$C$19*tblHistory[[#This Row],[BIZD S]]+Dashboard!$C$20*tblHistory[[#This Row],[BKLN S]]+Dashboard!$C$21*tblHistory[[#This Row],[HY S]])/(Dashboard!$C$19+Dashboard!$C$20+Dashboard!$C$21)*100</f>
        <v/>
      </c>
      <c r="W63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39" s="46">
        <f>IFERROR(--(tblHistory[[#This Row],[Score]]&gt;=50),0)</f>
        <v/>
      </c>
      <c r="Y639" s="46">
        <f>IFERROR(--AND(tblHistory[[#This Row],[Score]]&gt;=60,OR(AND(tblHistory[[#This Row],[BIZD S]]&gt;=0.8,tblHistory[[#This Row],[BKLN S]]&gt;=0.5),tblHistory[[#This Row],[CCC S]]&gt;=0.8)),0)</f>
        <v/>
      </c>
      <c r="Z639" s="46">
        <f>IFERROR(--AND(tblHistory[[#This Row],[Score]]&gt;=70,tblHistory[[#This Row],[SOX S]]&gt;=0.83,tblHistory[[#This Row],[AIQ S]]&gt;=0.8),0)</f>
        <v/>
      </c>
      <c r="AA63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3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3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3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3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0">
      <c r="A640" s="42" t="n">
        <v>45397</v>
      </c>
      <c r="B640" s="43" t="n">
        <v>17706.8301</v>
      </c>
      <c r="C640" s="43" t="n">
        <v>4679.1001</v>
      </c>
      <c r="D640" s="43" t="n">
        <v>32.6956</v>
      </c>
      <c r="E640" s="43" t="n">
        <v>13.8722</v>
      </c>
      <c r="F640" s="44" t="n">
        <v>115</v>
      </c>
      <c r="G640" s="44" t="n">
        <v>894</v>
      </c>
      <c r="H640" s="43" t="n">
        <v>12.1718</v>
      </c>
      <c r="I640" s="43" t="n">
        <v>17.4873</v>
      </c>
      <c r="J640" s="44" t="n">
        <v>328</v>
      </c>
      <c r="K64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0" s="46">
        <f>(Dashboard!$C$13*tblHistory[[#This Row],[NDX S]]+Dashboard!$C$14*tblHistory[[#This Row],[SOX S]]+Dashboard!$C$15*tblHistory[[#This Row],[AIQ S]])/(Dashboard!$C$13+Dashboard!$C$14+Dashboard!$C$15)*100</f>
        <v/>
      </c>
      <c r="U640" s="46">
        <f>(Dashboard!$C$16*tblHistory[[#This Row],[DTCR S]]+Dashboard!$C$17*tblHistory[[#This Row],[BBB S]]+Dashboard!$C$18*tblHistory[[#This Row],[CCC S]])/(Dashboard!$C$16+Dashboard!$C$17+Dashboard!$C$18)*100</f>
        <v/>
      </c>
      <c r="V640" s="46">
        <f>(Dashboard!$C$19*tblHistory[[#This Row],[BIZD S]]+Dashboard!$C$20*tblHistory[[#This Row],[BKLN S]]+Dashboard!$C$21*tblHistory[[#This Row],[HY S]])/(Dashboard!$C$19+Dashboard!$C$20+Dashboard!$C$21)*100</f>
        <v/>
      </c>
      <c r="W64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0" s="46">
        <f>IFERROR(--(tblHistory[[#This Row],[Score]]&gt;=50),0)</f>
        <v/>
      </c>
      <c r="Y640" s="46">
        <f>IFERROR(--AND(tblHistory[[#This Row],[Score]]&gt;=60,OR(AND(tblHistory[[#This Row],[BIZD S]]&gt;=0.8,tblHistory[[#This Row],[BKLN S]]&gt;=0.5),tblHistory[[#This Row],[CCC S]]&gt;=0.8)),0)</f>
        <v/>
      </c>
      <c r="Z640" s="46">
        <f>IFERROR(--AND(tblHistory[[#This Row],[Score]]&gt;=70,tblHistory[[#This Row],[SOX S]]&gt;=0.83,tblHistory[[#This Row],[AIQ S]]&gt;=0.8),0)</f>
        <v/>
      </c>
      <c r="AA64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1">
      <c r="A641" s="42" t="n">
        <v>45394</v>
      </c>
      <c r="B641" s="43" t="n">
        <v>18003.4902</v>
      </c>
      <c r="C641" s="43" t="n">
        <v>4745.0498</v>
      </c>
      <c r="D641" s="43" t="n">
        <v>33.2437</v>
      </c>
      <c r="E641" s="43" t="n">
        <v>14.1198</v>
      </c>
      <c r="F641" s="44" t="n">
        <v>113</v>
      </c>
      <c r="G641" s="44" t="n">
        <v>886</v>
      </c>
      <c r="H641" s="43" t="n">
        <v>12.2321</v>
      </c>
      <c r="I641" s="43" t="n">
        <v>17.4873</v>
      </c>
      <c r="J641" s="44" t="n">
        <v>325</v>
      </c>
      <c r="K64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1" s="46">
        <f>(Dashboard!$C$13*tblHistory[[#This Row],[NDX S]]+Dashboard!$C$14*tblHistory[[#This Row],[SOX S]]+Dashboard!$C$15*tblHistory[[#This Row],[AIQ S]])/(Dashboard!$C$13+Dashboard!$C$14+Dashboard!$C$15)*100</f>
        <v/>
      </c>
      <c r="U641" s="46">
        <f>(Dashboard!$C$16*tblHistory[[#This Row],[DTCR S]]+Dashboard!$C$17*tblHistory[[#This Row],[BBB S]]+Dashboard!$C$18*tblHistory[[#This Row],[CCC S]])/(Dashboard!$C$16+Dashboard!$C$17+Dashboard!$C$18)*100</f>
        <v/>
      </c>
      <c r="V641" s="46">
        <f>(Dashboard!$C$19*tblHistory[[#This Row],[BIZD S]]+Dashboard!$C$20*tblHistory[[#This Row],[BKLN S]]+Dashboard!$C$21*tblHistory[[#This Row],[HY S]])/(Dashboard!$C$19+Dashboard!$C$20+Dashboard!$C$21)*100</f>
        <v/>
      </c>
      <c r="W64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1" s="46">
        <f>IFERROR(--(tblHistory[[#This Row],[Score]]&gt;=50),0)</f>
        <v/>
      </c>
      <c r="Y641" s="46">
        <f>IFERROR(--AND(tblHistory[[#This Row],[Score]]&gt;=60,OR(AND(tblHistory[[#This Row],[BIZD S]]&gt;=0.8,tblHistory[[#This Row],[BKLN S]]&gt;=0.5),tblHistory[[#This Row],[CCC S]]&gt;=0.8)),0)</f>
        <v/>
      </c>
      <c r="Z641" s="46">
        <f>IFERROR(--AND(tblHistory[[#This Row],[Score]]&gt;=70,tblHistory[[#This Row],[SOX S]]&gt;=0.83,tblHistory[[#This Row],[AIQ S]]&gt;=0.8),0)</f>
        <v/>
      </c>
      <c r="AA64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2">
      <c r="A642" s="42" t="n">
        <v>45393</v>
      </c>
      <c r="B642" s="43" t="n">
        <v>18307.9805</v>
      </c>
      <c r="C642" s="43" t="n">
        <v>4906.3701</v>
      </c>
      <c r="D642" s="43" t="n">
        <v>34.0309</v>
      </c>
      <c r="E642" s="43" t="n">
        <v>14.4197</v>
      </c>
      <c r="F642" s="44" t="n">
        <v>111</v>
      </c>
      <c r="G642" s="44" t="n">
        <v>872</v>
      </c>
      <c r="H642" s="43" t="n">
        <v>12.383</v>
      </c>
      <c r="I642" s="43" t="n">
        <v>17.5122</v>
      </c>
      <c r="J642" s="44" t="n">
        <v>316</v>
      </c>
      <c r="K64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2" s="46">
        <f>(Dashboard!$C$13*tblHistory[[#This Row],[NDX S]]+Dashboard!$C$14*tblHistory[[#This Row],[SOX S]]+Dashboard!$C$15*tblHistory[[#This Row],[AIQ S]])/(Dashboard!$C$13+Dashboard!$C$14+Dashboard!$C$15)*100</f>
        <v/>
      </c>
      <c r="U642" s="46">
        <f>(Dashboard!$C$16*tblHistory[[#This Row],[DTCR S]]+Dashboard!$C$17*tblHistory[[#This Row],[BBB S]]+Dashboard!$C$18*tblHistory[[#This Row],[CCC S]])/(Dashboard!$C$16+Dashboard!$C$17+Dashboard!$C$18)*100</f>
        <v/>
      </c>
      <c r="V642" s="46">
        <f>(Dashboard!$C$19*tblHistory[[#This Row],[BIZD S]]+Dashboard!$C$20*tblHistory[[#This Row],[BKLN S]]+Dashboard!$C$21*tblHistory[[#This Row],[HY S]])/(Dashboard!$C$19+Dashboard!$C$20+Dashboard!$C$21)*100</f>
        <v/>
      </c>
      <c r="W64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2" s="46">
        <f>IFERROR(--(tblHistory[[#This Row],[Score]]&gt;=50),0)</f>
        <v/>
      </c>
      <c r="Y642" s="46">
        <f>IFERROR(--AND(tblHistory[[#This Row],[Score]]&gt;=60,OR(AND(tblHistory[[#This Row],[BIZD S]]&gt;=0.8,tblHistory[[#This Row],[BKLN S]]&gt;=0.5),tblHistory[[#This Row],[CCC S]]&gt;=0.8)),0)</f>
        <v/>
      </c>
      <c r="Z642" s="46">
        <f>IFERROR(--AND(tblHistory[[#This Row],[Score]]&gt;=70,tblHistory[[#This Row],[SOX S]]&gt;=0.83,tblHistory[[#This Row],[AIQ S]]&gt;=0.8),0)</f>
        <v/>
      </c>
      <c r="AA64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3">
      <c r="A643" s="42" t="n">
        <v>45392</v>
      </c>
      <c r="B643" s="43" t="n">
        <v>18011.6602</v>
      </c>
      <c r="C643" s="43" t="n">
        <v>4790.3501</v>
      </c>
      <c r="D643" s="43" t="n">
        <v>33.5028</v>
      </c>
      <c r="E643" s="43" t="n">
        <v>14.3684</v>
      </c>
      <c r="F643" s="44" t="n">
        <v>111</v>
      </c>
      <c r="G643" s="44" t="n">
        <v>868</v>
      </c>
      <c r="H643" s="43" t="n">
        <v>12.3452</v>
      </c>
      <c r="I643" s="43" t="n">
        <v>17.5122</v>
      </c>
      <c r="J643" s="44" t="n">
        <v>310</v>
      </c>
      <c r="K64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3" s="46">
        <f>(Dashboard!$C$13*tblHistory[[#This Row],[NDX S]]+Dashboard!$C$14*tblHistory[[#This Row],[SOX S]]+Dashboard!$C$15*tblHistory[[#This Row],[AIQ S]])/(Dashboard!$C$13+Dashboard!$C$14+Dashboard!$C$15)*100</f>
        <v/>
      </c>
      <c r="U643" s="46">
        <f>(Dashboard!$C$16*tblHistory[[#This Row],[DTCR S]]+Dashboard!$C$17*tblHistory[[#This Row],[BBB S]]+Dashboard!$C$18*tblHistory[[#This Row],[CCC S]])/(Dashboard!$C$16+Dashboard!$C$17+Dashboard!$C$18)*100</f>
        <v/>
      </c>
      <c r="V643" s="46">
        <f>(Dashboard!$C$19*tblHistory[[#This Row],[BIZD S]]+Dashboard!$C$20*tblHistory[[#This Row],[BKLN S]]+Dashboard!$C$21*tblHistory[[#This Row],[HY S]])/(Dashboard!$C$19+Dashboard!$C$20+Dashboard!$C$21)*100</f>
        <v/>
      </c>
      <c r="W64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3" s="46">
        <f>IFERROR(--(tblHistory[[#This Row],[Score]]&gt;=50),0)</f>
        <v/>
      </c>
      <c r="Y643" s="46">
        <f>IFERROR(--AND(tblHistory[[#This Row],[Score]]&gt;=60,OR(AND(tblHistory[[#This Row],[BIZD S]]&gt;=0.8,tblHistory[[#This Row],[BKLN S]]&gt;=0.5),tblHistory[[#This Row],[CCC S]]&gt;=0.8)),0)</f>
        <v/>
      </c>
      <c r="Z643" s="46">
        <f>IFERROR(--AND(tblHistory[[#This Row],[Score]]&gt;=70,tblHistory[[#This Row],[SOX S]]&gt;=0.83,tblHistory[[#This Row],[AIQ S]]&gt;=0.8),0)</f>
        <v/>
      </c>
      <c r="AA64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4">
      <c r="A644" s="42" t="n">
        <v>45391</v>
      </c>
      <c r="B644" s="43" t="n">
        <v>18169.9004</v>
      </c>
      <c r="C644" s="43" t="n">
        <v>4870.8101</v>
      </c>
      <c r="D644" s="43" t="n">
        <v>33.9114</v>
      </c>
      <c r="E644" s="43" t="n">
        <v>14.7167</v>
      </c>
      <c r="F644" s="44" t="n">
        <v>113</v>
      </c>
      <c r="G644" s="44" t="n">
        <v>873</v>
      </c>
      <c r="H644" s="43" t="n">
        <v>12.383</v>
      </c>
      <c r="I644" s="43" t="n">
        <v>17.5537</v>
      </c>
      <c r="J644" s="44" t="n">
        <v>314</v>
      </c>
      <c r="K64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4" s="46">
        <f>(Dashboard!$C$13*tblHistory[[#This Row],[NDX S]]+Dashboard!$C$14*tblHistory[[#This Row],[SOX S]]+Dashboard!$C$15*tblHistory[[#This Row],[AIQ S]])/(Dashboard!$C$13+Dashboard!$C$14+Dashboard!$C$15)*100</f>
        <v/>
      </c>
      <c r="U644" s="46">
        <f>(Dashboard!$C$16*tblHistory[[#This Row],[DTCR S]]+Dashboard!$C$17*tblHistory[[#This Row],[BBB S]]+Dashboard!$C$18*tblHistory[[#This Row],[CCC S]])/(Dashboard!$C$16+Dashboard!$C$17+Dashboard!$C$18)*100</f>
        <v/>
      </c>
      <c r="V644" s="46">
        <f>(Dashboard!$C$19*tblHistory[[#This Row],[BIZD S]]+Dashboard!$C$20*tblHistory[[#This Row],[BKLN S]]+Dashboard!$C$21*tblHistory[[#This Row],[HY S]])/(Dashboard!$C$19+Dashboard!$C$20+Dashboard!$C$21)*100</f>
        <v/>
      </c>
      <c r="W64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4" s="46">
        <f>IFERROR(--(tblHistory[[#This Row],[Score]]&gt;=50),0)</f>
        <v/>
      </c>
      <c r="Y644" s="46">
        <f>IFERROR(--AND(tblHistory[[#This Row],[Score]]&gt;=60,OR(AND(tblHistory[[#This Row],[BIZD S]]&gt;=0.8,tblHistory[[#This Row],[BKLN S]]&gt;=0.5),tblHistory[[#This Row],[CCC S]]&gt;=0.8)),0)</f>
        <v/>
      </c>
      <c r="Z644" s="46">
        <f>IFERROR(--AND(tblHistory[[#This Row],[Score]]&gt;=70,tblHistory[[#This Row],[SOX S]]&gt;=0.83,tblHistory[[#This Row],[AIQ S]]&gt;=0.8),0)</f>
        <v/>
      </c>
      <c r="AA64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5">
      <c r="A645" s="42" t="n">
        <v>45390</v>
      </c>
      <c r="B645" s="43" t="n">
        <v>18100.1895</v>
      </c>
      <c r="C645" s="43" t="n">
        <v>4825.3901</v>
      </c>
      <c r="D645" s="43" t="n">
        <v>33.8117</v>
      </c>
      <c r="E645" s="43" t="n">
        <v>14.5774</v>
      </c>
      <c r="F645" s="44" t="n">
        <v>113</v>
      </c>
      <c r="G645" s="44" t="n">
        <v>878</v>
      </c>
      <c r="H645" s="43" t="n">
        <v>12.3603</v>
      </c>
      <c r="I645" s="43" t="n">
        <v>17.5288</v>
      </c>
      <c r="J645" s="44" t="n">
        <v>315</v>
      </c>
      <c r="K64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5" s="46">
        <f>(Dashboard!$C$13*tblHistory[[#This Row],[NDX S]]+Dashboard!$C$14*tblHistory[[#This Row],[SOX S]]+Dashboard!$C$15*tblHistory[[#This Row],[AIQ S]])/(Dashboard!$C$13+Dashboard!$C$14+Dashboard!$C$15)*100</f>
        <v/>
      </c>
      <c r="U645" s="46">
        <f>(Dashboard!$C$16*tblHistory[[#This Row],[DTCR S]]+Dashboard!$C$17*tblHistory[[#This Row],[BBB S]]+Dashboard!$C$18*tblHistory[[#This Row],[CCC S]])/(Dashboard!$C$16+Dashboard!$C$17+Dashboard!$C$18)*100</f>
        <v/>
      </c>
      <c r="V645" s="46">
        <f>(Dashboard!$C$19*tblHistory[[#This Row],[BIZD S]]+Dashboard!$C$20*tblHistory[[#This Row],[BKLN S]]+Dashboard!$C$21*tblHistory[[#This Row],[HY S]])/(Dashboard!$C$19+Dashboard!$C$20+Dashboard!$C$21)*100</f>
        <v/>
      </c>
      <c r="W64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5" s="46">
        <f>IFERROR(--(tblHistory[[#This Row],[Score]]&gt;=50),0)</f>
        <v/>
      </c>
      <c r="Y645" s="46">
        <f>IFERROR(--AND(tblHistory[[#This Row],[Score]]&gt;=60,OR(AND(tblHistory[[#This Row],[BIZD S]]&gt;=0.8,tblHistory[[#This Row],[BKLN S]]&gt;=0.5),tblHistory[[#This Row],[CCC S]]&gt;=0.8)),0)</f>
        <v/>
      </c>
      <c r="Z645" s="46">
        <f>IFERROR(--AND(tblHistory[[#This Row],[Score]]&gt;=70,tblHistory[[#This Row],[SOX S]]&gt;=0.83,tblHistory[[#This Row],[AIQ S]]&gt;=0.8),0)</f>
        <v/>
      </c>
      <c r="AA64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6">
      <c r="A646" s="42" t="n">
        <v>45387</v>
      </c>
      <c r="B646" s="43" t="n">
        <v>18108.4609</v>
      </c>
      <c r="C646" s="43" t="n">
        <v>4819.1299</v>
      </c>
      <c r="D646" s="43" t="n">
        <v>33.7918</v>
      </c>
      <c r="E646" s="43" t="n">
        <v>14.617</v>
      </c>
      <c r="F646" s="44" t="n">
        <v>114</v>
      </c>
      <c r="G646" s="44" t="n">
        <v>878</v>
      </c>
      <c r="H646" s="43" t="n">
        <v>12.3452</v>
      </c>
      <c r="I646" s="43" t="n">
        <v>17.5039</v>
      </c>
      <c r="J646" s="44" t="n">
        <v>318</v>
      </c>
      <c r="K64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6" s="46">
        <f>(Dashboard!$C$13*tblHistory[[#This Row],[NDX S]]+Dashboard!$C$14*tblHistory[[#This Row],[SOX S]]+Dashboard!$C$15*tblHistory[[#This Row],[AIQ S]])/(Dashboard!$C$13+Dashboard!$C$14+Dashboard!$C$15)*100</f>
        <v/>
      </c>
      <c r="U646" s="46">
        <f>(Dashboard!$C$16*tblHistory[[#This Row],[DTCR S]]+Dashboard!$C$17*tblHistory[[#This Row],[BBB S]]+Dashboard!$C$18*tblHistory[[#This Row],[CCC S]])/(Dashboard!$C$16+Dashboard!$C$17+Dashboard!$C$18)*100</f>
        <v/>
      </c>
      <c r="V646" s="46">
        <f>(Dashboard!$C$19*tblHistory[[#This Row],[BIZD S]]+Dashboard!$C$20*tblHistory[[#This Row],[BKLN S]]+Dashboard!$C$21*tblHistory[[#This Row],[HY S]])/(Dashboard!$C$19+Dashboard!$C$20+Dashboard!$C$21)*100</f>
        <v/>
      </c>
      <c r="W64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6" s="46">
        <f>IFERROR(--(tblHistory[[#This Row],[Score]]&gt;=50),0)</f>
        <v/>
      </c>
      <c r="Y646" s="46">
        <f>IFERROR(--AND(tblHistory[[#This Row],[Score]]&gt;=60,OR(AND(tblHistory[[#This Row],[BIZD S]]&gt;=0.8,tblHistory[[#This Row],[BKLN S]]&gt;=0.5),tblHistory[[#This Row],[CCC S]]&gt;=0.8)),0)</f>
        <v/>
      </c>
      <c r="Z646" s="46">
        <f>IFERROR(--AND(tblHistory[[#This Row],[Score]]&gt;=70,tblHistory[[#This Row],[SOX S]]&gt;=0.83,tblHistory[[#This Row],[AIQ S]]&gt;=0.8),0)</f>
        <v/>
      </c>
      <c r="AA64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7">
      <c r="A647" s="42" t="n">
        <v>45386</v>
      </c>
      <c r="B647" s="43" t="n">
        <v>17878.7793</v>
      </c>
      <c r="C647" s="43" t="n">
        <v>4756.0698</v>
      </c>
      <c r="D647" s="43" t="n">
        <v>33.5028</v>
      </c>
      <c r="E647" s="43" t="n">
        <v>14.6809</v>
      </c>
      <c r="F647" s="44" t="n">
        <v>115</v>
      </c>
      <c r="G647" s="44" t="n">
        <v>883</v>
      </c>
      <c r="H647" s="43" t="n">
        <v>12.202</v>
      </c>
      <c r="I647" s="43" t="n">
        <v>17.4707</v>
      </c>
      <c r="J647" s="44" t="n">
        <v>324</v>
      </c>
      <c r="K64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7" s="46">
        <f>(Dashboard!$C$13*tblHistory[[#This Row],[NDX S]]+Dashboard!$C$14*tblHistory[[#This Row],[SOX S]]+Dashboard!$C$15*tblHistory[[#This Row],[AIQ S]])/(Dashboard!$C$13+Dashboard!$C$14+Dashboard!$C$15)*100</f>
        <v/>
      </c>
      <c r="U647" s="46">
        <f>(Dashboard!$C$16*tblHistory[[#This Row],[DTCR S]]+Dashboard!$C$17*tblHistory[[#This Row],[BBB S]]+Dashboard!$C$18*tblHistory[[#This Row],[CCC S]])/(Dashboard!$C$16+Dashboard!$C$17+Dashboard!$C$18)*100</f>
        <v/>
      </c>
      <c r="V647" s="46">
        <f>(Dashboard!$C$19*tblHistory[[#This Row],[BIZD S]]+Dashboard!$C$20*tblHistory[[#This Row],[BKLN S]]+Dashboard!$C$21*tblHistory[[#This Row],[HY S]])/(Dashboard!$C$19+Dashboard!$C$20+Dashboard!$C$21)*100</f>
        <v/>
      </c>
      <c r="W64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7" s="46">
        <f>IFERROR(--(tblHistory[[#This Row],[Score]]&gt;=50),0)</f>
        <v/>
      </c>
      <c r="Y647" s="46">
        <f>IFERROR(--AND(tblHistory[[#This Row],[Score]]&gt;=60,OR(AND(tblHistory[[#This Row],[BIZD S]]&gt;=0.8,tblHistory[[#This Row],[BKLN S]]&gt;=0.5),tblHistory[[#This Row],[CCC S]]&gt;=0.8)),0)</f>
        <v/>
      </c>
      <c r="Z647" s="46">
        <f>IFERROR(--AND(tblHistory[[#This Row],[Score]]&gt;=70,tblHistory[[#This Row],[SOX S]]&gt;=0.83,tblHistory[[#This Row],[AIQ S]]&gt;=0.8),0)</f>
        <v/>
      </c>
      <c r="AA64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8">
      <c r="A648" s="42" t="n">
        <v>45385</v>
      </c>
      <c r="B648" s="43" t="n">
        <v>18160.1895</v>
      </c>
      <c r="C648" s="43" t="n">
        <v>4903.5</v>
      </c>
      <c r="D648" s="43" t="n">
        <v>33.9612</v>
      </c>
      <c r="E648" s="43" t="n">
        <v>14.8608</v>
      </c>
      <c r="F648" s="44" t="n">
        <v>114</v>
      </c>
      <c r="G648" s="44" t="n">
        <v>883</v>
      </c>
      <c r="H648" s="43" t="n">
        <v>12.3151</v>
      </c>
      <c r="I648" s="43" t="n">
        <v>17.5205</v>
      </c>
      <c r="J648" s="44" t="n">
        <v>323</v>
      </c>
      <c r="K64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8" s="46">
        <f>(Dashboard!$C$13*tblHistory[[#This Row],[NDX S]]+Dashboard!$C$14*tblHistory[[#This Row],[SOX S]]+Dashboard!$C$15*tblHistory[[#This Row],[AIQ S]])/(Dashboard!$C$13+Dashboard!$C$14+Dashboard!$C$15)*100</f>
        <v/>
      </c>
      <c r="U648" s="46">
        <f>(Dashboard!$C$16*tblHistory[[#This Row],[DTCR S]]+Dashboard!$C$17*tblHistory[[#This Row],[BBB S]]+Dashboard!$C$18*tblHistory[[#This Row],[CCC S]])/(Dashboard!$C$16+Dashboard!$C$17+Dashboard!$C$18)*100</f>
        <v/>
      </c>
      <c r="V648" s="46">
        <f>(Dashboard!$C$19*tblHistory[[#This Row],[BIZD S]]+Dashboard!$C$20*tblHistory[[#This Row],[BKLN S]]+Dashboard!$C$21*tblHistory[[#This Row],[HY S]])/(Dashboard!$C$19+Dashboard!$C$20+Dashboard!$C$21)*100</f>
        <v/>
      </c>
      <c r="W64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8" s="46">
        <f>IFERROR(--(tblHistory[[#This Row],[Score]]&gt;=50),0)</f>
        <v/>
      </c>
      <c r="Y648" s="46">
        <f>IFERROR(--AND(tblHistory[[#This Row],[Score]]&gt;=60,OR(AND(tblHistory[[#This Row],[BIZD S]]&gt;=0.8,tblHistory[[#This Row],[BKLN S]]&gt;=0.5),tblHistory[[#This Row],[CCC S]]&gt;=0.8)),0)</f>
        <v/>
      </c>
      <c r="Z648" s="46">
        <f>IFERROR(--AND(tblHistory[[#This Row],[Score]]&gt;=70,tblHistory[[#This Row],[SOX S]]&gt;=0.83,tblHistory[[#This Row],[AIQ S]]&gt;=0.8),0)</f>
        <v/>
      </c>
      <c r="AA64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49">
      <c r="A649" s="42" t="n">
        <v>45384</v>
      </c>
      <c r="B649" s="43" t="n">
        <v>18121.7793</v>
      </c>
      <c r="C649" s="43" t="n">
        <v>4886.9399</v>
      </c>
      <c r="D649" s="43" t="n">
        <v>33.8516</v>
      </c>
      <c r="E649" s="43" t="n">
        <v>14.8444</v>
      </c>
      <c r="F649" s="44" t="n">
        <v>116</v>
      </c>
      <c r="G649" s="44" t="n">
        <v>878</v>
      </c>
      <c r="H649" s="43" t="n">
        <v>12.3</v>
      </c>
      <c r="I649" s="43" t="n">
        <v>17.5288</v>
      </c>
      <c r="J649" s="44" t="n">
        <v>323</v>
      </c>
      <c r="K64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4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4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4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4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4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4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4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4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49" s="46">
        <f>(Dashboard!$C$13*tblHistory[[#This Row],[NDX S]]+Dashboard!$C$14*tblHistory[[#This Row],[SOX S]]+Dashboard!$C$15*tblHistory[[#This Row],[AIQ S]])/(Dashboard!$C$13+Dashboard!$C$14+Dashboard!$C$15)*100</f>
        <v/>
      </c>
      <c r="U649" s="46">
        <f>(Dashboard!$C$16*tblHistory[[#This Row],[DTCR S]]+Dashboard!$C$17*tblHistory[[#This Row],[BBB S]]+Dashboard!$C$18*tblHistory[[#This Row],[CCC S]])/(Dashboard!$C$16+Dashboard!$C$17+Dashboard!$C$18)*100</f>
        <v/>
      </c>
      <c r="V649" s="46">
        <f>(Dashboard!$C$19*tblHistory[[#This Row],[BIZD S]]+Dashboard!$C$20*tblHistory[[#This Row],[BKLN S]]+Dashboard!$C$21*tblHistory[[#This Row],[HY S]])/(Dashboard!$C$19+Dashboard!$C$20+Dashboard!$C$21)*100</f>
        <v/>
      </c>
      <c r="W64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49" s="46">
        <f>IFERROR(--(tblHistory[[#This Row],[Score]]&gt;=50),0)</f>
        <v/>
      </c>
      <c r="Y649" s="46">
        <f>IFERROR(--AND(tblHistory[[#This Row],[Score]]&gt;=60,OR(AND(tblHistory[[#This Row],[BIZD S]]&gt;=0.8,tblHistory[[#This Row],[BKLN S]]&gt;=0.5),tblHistory[[#This Row],[CCC S]]&gt;=0.8)),0)</f>
        <v/>
      </c>
      <c r="Z649" s="46">
        <f>IFERROR(--AND(tblHistory[[#This Row],[Score]]&gt;=70,tblHistory[[#This Row],[SOX S]]&gt;=0.83,tblHistory[[#This Row],[AIQ S]]&gt;=0.8),0)</f>
        <v/>
      </c>
      <c r="AA64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4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4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4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4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0">
      <c r="A650" s="42" t="n">
        <v>45383</v>
      </c>
      <c r="B650" s="43" t="n">
        <v>18293.1992</v>
      </c>
      <c r="C650" s="43" t="n">
        <v>4962.1001</v>
      </c>
      <c r="D650" s="43" t="n">
        <v>34.0509</v>
      </c>
      <c r="E650" s="43" t="n">
        <v>15.0059</v>
      </c>
      <c r="F650" s="44" t="n">
        <v>116</v>
      </c>
      <c r="G650" s="44" t="n">
        <v>859</v>
      </c>
      <c r="H650" s="43" t="n">
        <v>12.2623</v>
      </c>
      <c r="I650" s="43" t="n">
        <v>17.5371</v>
      </c>
      <c r="J650" s="44" t="n">
        <v>312</v>
      </c>
      <c r="K65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0" s="46">
        <f>(Dashboard!$C$13*tblHistory[[#This Row],[NDX S]]+Dashboard!$C$14*tblHistory[[#This Row],[SOX S]]+Dashboard!$C$15*tblHistory[[#This Row],[AIQ S]])/(Dashboard!$C$13+Dashboard!$C$14+Dashboard!$C$15)*100</f>
        <v/>
      </c>
      <c r="U650" s="46">
        <f>(Dashboard!$C$16*tblHistory[[#This Row],[DTCR S]]+Dashboard!$C$17*tblHistory[[#This Row],[BBB S]]+Dashboard!$C$18*tblHistory[[#This Row],[CCC S]])/(Dashboard!$C$16+Dashboard!$C$17+Dashboard!$C$18)*100</f>
        <v/>
      </c>
      <c r="V650" s="46">
        <f>(Dashboard!$C$19*tblHistory[[#This Row],[BIZD S]]+Dashboard!$C$20*tblHistory[[#This Row],[BKLN S]]+Dashboard!$C$21*tblHistory[[#This Row],[HY S]])/(Dashboard!$C$19+Dashboard!$C$20+Dashboard!$C$21)*100</f>
        <v/>
      </c>
      <c r="W65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0" s="46">
        <f>IFERROR(--(tblHistory[[#This Row],[Score]]&gt;=50),0)</f>
        <v/>
      </c>
      <c r="Y650" s="46">
        <f>IFERROR(--AND(tblHistory[[#This Row],[Score]]&gt;=60,OR(AND(tblHistory[[#This Row],[BIZD S]]&gt;=0.8,tblHistory[[#This Row],[BKLN S]]&gt;=0.5),tblHistory[[#This Row],[CCC S]]&gt;=0.8)),0)</f>
        <v/>
      </c>
      <c r="Z650" s="46">
        <f>IFERROR(--AND(tblHistory[[#This Row],[Score]]&gt;=70,tblHistory[[#This Row],[SOX S]]&gt;=0.83,tblHistory[[#This Row],[AIQ S]]&gt;=0.8),0)</f>
        <v/>
      </c>
      <c r="AA65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1">
      <c r="A651" s="42" t="n">
        <v>45379</v>
      </c>
      <c r="B651" s="43" t="n">
        <v>18254.6895</v>
      </c>
      <c r="C651" s="43" t="n">
        <v>4905.21</v>
      </c>
      <c r="D651" s="43" t="n">
        <v>33.8416</v>
      </c>
      <c r="E651" s="43" t="n">
        <v>15.0427</v>
      </c>
      <c r="F651" s="44" t="n">
        <v>115</v>
      </c>
      <c r="G651" s="44" t="n">
        <v>852</v>
      </c>
      <c r="H651" s="43" t="n">
        <v>12.3995</v>
      </c>
      <c r="I651" s="43" t="n">
        <v>17.5454</v>
      </c>
      <c r="J651" s="44" t="n">
        <v>312</v>
      </c>
      <c r="K65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1" s="46">
        <f>(Dashboard!$C$13*tblHistory[[#This Row],[NDX S]]+Dashboard!$C$14*tblHistory[[#This Row],[SOX S]]+Dashboard!$C$15*tblHistory[[#This Row],[AIQ S]])/(Dashboard!$C$13+Dashboard!$C$14+Dashboard!$C$15)*100</f>
        <v/>
      </c>
      <c r="U651" s="46">
        <f>(Dashboard!$C$16*tblHistory[[#This Row],[DTCR S]]+Dashboard!$C$17*tblHistory[[#This Row],[BBB S]]+Dashboard!$C$18*tblHistory[[#This Row],[CCC S]])/(Dashboard!$C$16+Dashboard!$C$17+Dashboard!$C$18)*100</f>
        <v/>
      </c>
      <c r="V651" s="46">
        <f>(Dashboard!$C$19*tblHistory[[#This Row],[BIZD S]]+Dashboard!$C$20*tblHistory[[#This Row],[BKLN S]]+Dashboard!$C$21*tblHistory[[#This Row],[HY S]])/(Dashboard!$C$19+Dashboard!$C$20+Dashboard!$C$21)*100</f>
        <v/>
      </c>
      <c r="W65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1" s="46">
        <f>IFERROR(--(tblHistory[[#This Row],[Score]]&gt;=50),0)</f>
        <v/>
      </c>
      <c r="Y651" s="46">
        <f>IFERROR(--AND(tblHistory[[#This Row],[Score]]&gt;=60,OR(AND(tblHistory[[#This Row],[BIZD S]]&gt;=0.8,tblHistory[[#This Row],[BKLN S]]&gt;=0.5),tblHistory[[#This Row],[CCC S]]&gt;=0.8)),0)</f>
        <v/>
      </c>
      <c r="Z651" s="46">
        <f>IFERROR(--AND(tblHistory[[#This Row],[Score]]&gt;=70,tblHistory[[#This Row],[SOX S]]&gt;=0.83,tblHistory[[#This Row],[AIQ S]]&gt;=0.8),0)</f>
        <v/>
      </c>
      <c r="AA65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2">
      <c r="A652" s="42" t="n">
        <v>45378</v>
      </c>
      <c r="B652" s="43" t="n">
        <v>18280.8398</v>
      </c>
      <c r="C652" s="43" t="n">
        <v>4899.9502</v>
      </c>
      <c r="D652" s="43" t="n">
        <v>33.8914</v>
      </c>
      <c r="E652" s="43" t="n">
        <v>15.0669</v>
      </c>
      <c r="F652" s="44" t="n">
        <v>116</v>
      </c>
      <c r="G652" s="44" t="n">
        <v>858</v>
      </c>
      <c r="H652" s="43" t="n">
        <v>12.3042</v>
      </c>
      <c r="I652" s="43" t="n">
        <v>17.5122</v>
      </c>
      <c r="J652" s="44" t="n">
        <v>315</v>
      </c>
      <c r="K65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2" s="46">
        <f>(Dashboard!$C$13*tblHistory[[#This Row],[NDX S]]+Dashboard!$C$14*tblHistory[[#This Row],[SOX S]]+Dashboard!$C$15*tblHistory[[#This Row],[AIQ S]])/(Dashboard!$C$13+Dashboard!$C$14+Dashboard!$C$15)*100</f>
        <v/>
      </c>
      <c r="U652" s="46">
        <f>(Dashboard!$C$16*tblHistory[[#This Row],[DTCR S]]+Dashboard!$C$17*tblHistory[[#This Row],[BBB S]]+Dashboard!$C$18*tblHistory[[#This Row],[CCC S]])/(Dashboard!$C$16+Dashboard!$C$17+Dashboard!$C$18)*100</f>
        <v/>
      </c>
      <c r="V652" s="46">
        <f>(Dashboard!$C$19*tblHistory[[#This Row],[BIZD S]]+Dashboard!$C$20*tblHistory[[#This Row],[BKLN S]]+Dashboard!$C$21*tblHistory[[#This Row],[HY S]])/(Dashboard!$C$19+Dashboard!$C$20+Dashboard!$C$21)*100</f>
        <v/>
      </c>
      <c r="W65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2" s="46">
        <f>IFERROR(--(tblHistory[[#This Row],[Score]]&gt;=50),0)</f>
        <v/>
      </c>
      <c r="Y652" s="46">
        <f>IFERROR(--AND(tblHistory[[#This Row],[Score]]&gt;=60,OR(AND(tblHistory[[#This Row],[BIZD S]]&gt;=0.8,tblHistory[[#This Row],[BKLN S]]&gt;=0.5),tblHistory[[#This Row],[CCC S]]&gt;=0.8)),0)</f>
        <v/>
      </c>
      <c r="Z652" s="46">
        <f>IFERROR(--AND(tblHistory[[#This Row],[Score]]&gt;=70,tblHistory[[#This Row],[SOX S]]&gt;=0.83,tblHistory[[#This Row],[AIQ S]]&gt;=0.8),0)</f>
        <v/>
      </c>
      <c r="AA65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3">
      <c r="A653" s="42" t="n">
        <v>45377</v>
      </c>
      <c r="B653" s="43" t="n">
        <v>18210.5391</v>
      </c>
      <c r="C653" s="43" t="n">
        <v>4851.8799</v>
      </c>
      <c r="D653" s="43" t="n">
        <v>33.8516</v>
      </c>
      <c r="E653" s="43" t="n">
        <v>14.8492</v>
      </c>
      <c r="F653" s="44" t="n">
        <v>116</v>
      </c>
      <c r="G653" s="44" t="n">
        <v>859</v>
      </c>
      <c r="H653" s="43" t="n">
        <v>12.2088</v>
      </c>
      <c r="I653" s="43" t="n">
        <v>17.479</v>
      </c>
      <c r="J653" s="44" t="n">
        <v>315</v>
      </c>
      <c r="K65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3" s="46">
        <f>(Dashboard!$C$13*tblHistory[[#This Row],[NDX S]]+Dashboard!$C$14*tblHistory[[#This Row],[SOX S]]+Dashboard!$C$15*tblHistory[[#This Row],[AIQ S]])/(Dashboard!$C$13+Dashboard!$C$14+Dashboard!$C$15)*100</f>
        <v/>
      </c>
      <c r="U653" s="46">
        <f>(Dashboard!$C$16*tblHistory[[#This Row],[DTCR S]]+Dashboard!$C$17*tblHistory[[#This Row],[BBB S]]+Dashboard!$C$18*tblHistory[[#This Row],[CCC S]])/(Dashboard!$C$16+Dashboard!$C$17+Dashboard!$C$18)*100</f>
        <v/>
      </c>
      <c r="V653" s="46">
        <f>(Dashboard!$C$19*tblHistory[[#This Row],[BIZD S]]+Dashboard!$C$20*tblHistory[[#This Row],[BKLN S]]+Dashboard!$C$21*tblHistory[[#This Row],[HY S]])/(Dashboard!$C$19+Dashboard!$C$20+Dashboard!$C$21)*100</f>
        <v/>
      </c>
      <c r="W65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3" s="46">
        <f>IFERROR(--(tblHistory[[#This Row],[Score]]&gt;=50),0)</f>
        <v/>
      </c>
      <c r="Y653" s="46">
        <f>IFERROR(--AND(tblHistory[[#This Row],[Score]]&gt;=60,OR(AND(tblHistory[[#This Row],[BIZD S]]&gt;=0.8,tblHistory[[#This Row],[BKLN S]]&gt;=0.5),tblHistory[[#This Row],[CCC S]]&gt;=0.8)),0)</f>
        <v/>
      </c>
      <c r="Z653" s="46">
        <f>IFERROR(--AND(tblHistory[[#This Row],[Score]]&gt;=70,tblHistory[[#This Row],[SOX S]]&gt;=0.83,tblHistory[[#This Row],[AIQ S]]&gt;=0.8),0)</f>
        <v/>
      </c>
      <c r="AA65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4">
      <c r="A654" s="42" t="n">
        <v>45376</v>
      </c>
      <c r="B654" s="43" t="n">
        <v>18277.0605</v>
      </c>
      <c r="C654" s="43" t="n">
        <v>4891.4902</v>
      </c>
      <c r="D654" s="43" t="n">
        <v>33.8516</v>
      </c>
      <c r="E654" s="43" t="n">
        <v>14.9943</v>
      </c>
      <c r="F654" s="44" t="n">
        <v>115</v>
      </c>
      <c r="G654" s="44" t="n">
        <v>855</v>
      </c>
      <c r="H654" s="43" t="n">
        <v>12.1354</v>
      </c>
      <c r="I654" s="43" t="n">
        <v>17.479</v>
      </c>
      <c r="J654" s="44" t="n">
        <v>311</v>
      </c>
      <c r="K65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4" s="46">
        <f>(Dashboard!$C$13*tblHistory[[#This Row],[NDX S]]+Dashboard!$C$14*tblHistory[[#This Row],[SOX S]]+Dashboard!$C$15*tblHistory[[#This Row],[AIQ S]])/(Dashboard!$C$13+Dashboard!$C$14+Dashboard!$C$15)*100</f>
        <v/>
      </c>
      <c r="U654" s="46">
        <f>(Dashboard!$C$16*tblHistory[[#This Row],[DTCR S]]+Dashboard!$C$17*tblHistory[[#This Row],[BBB S]]+Dashboard!$C$18*tblHistory[[#This Row],[CCC S]])/(Dashboard!$C$16+Dashboard!$C$17+Dashboard!$C$18)*100</f>
        <v/>
      </c>
      <c r="V654" s="46">
        <f>(Dashboard!$C$19*tblHistory[[#This Row],[BIZD S]]+Dashboard!$C$20*tblHistory[[#This Row],[BKLN S]]+Dashboard!$C$21*tblHistory[[#This Row],[HY S]])/(Dashboard!$C$19+Dashboard!$C$20+Dashboard!$C$21)*100</f>
        <v/>
      </c>
      <c r="W65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4" s="46">
        <f>IFERROR(--(tblHistory[[#This Row],[Score]]&gt;=50),0)</f>
        <v/>
      </c>
      <c r="Y654" s="46">
        <f>IFERROR(--AND(tblHistory[[#This Row],[Score]]&gt;=60,OR(AND(tblHistory[[#This Row],[BIZD S]]&gt;=0.8,tblHistory[[#This Row],[BKLN S]]&gt;=0.5),tblHistory[[#This Row],[CCC S]]&gt;=0.8)),0)</f>
        <v/>
      </c>
      <c r="Z654" s="46">
        <f>IFERROR(--AND(tblHistory[[#This Row],[Score]]&gt;=70,tblHistory[[#This Row],[SOX S]]&gt;=0.83,tblHistory[[#This Row],[AIQ S]]&gt;=0.8),0)</f>
        <v/>
      </c>
      <c r="AA65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5">
      <c r="A655" s="42" t="n">
        <v>45373</v>
      </c>
      <c r="B655" s="43" t="n">
        <v>18339.4395</v>
      </c>
      <c r="C655" s="43" t="n">
        <v>4908.2598</v>
      </c>
      <c r="D655" s="43" t="n">
        <v>33.8914</v>
      </c>
      <c r="E655" s="43" t="n">
        <v>14.975</v>
      </c>
      <c r="F655" s="44" t="n">
        <v>115</v>
      </c>
      <c r="G655" s="44" t="n">
        <v>845</v>
      </c>
      <c r="H655" s="43" t="n">
        <v>12.0767</v>
      </c>
      <c r="I655" s="43" t="n">
        <v>17.4624</v>
      </c>
      <c r="J655" s="44" t="n">
        <v>308</v>
      </c>
      <c r="K65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5" s="46">
        <f>(Dashboard!$C$13*tblHistory[[#This Row],[NDX S]]+Dashboard!$C$14*tblHistory[[#This Row],[SOX S]]+Dashboard!$C$15*tblHistory[[#This Row],[AIQ S]])/(Dashboard!$C$13+Dashboard!$C$14+Dashboard!$C$15)*100</f>
        <v/>
      </c>
      <c r="U655" s="46">
        <f>(Dashboard!$C$16*tblHistory[[#This Row],[DTCR S]]+Dashboard!$C$17*tblHistory[[#This Row],[BBB S]]+Dashboard!$C$18*tblHistory[[#This Row],[CCC S]])/(Dashboard!$C$16+Dashboard!$C$17+Dashboard!$C$18)*100</f>
        <v/>
      </c>
      <c r="V655" s="46">
        <f>(Dashboard!$C$19*tblHistory[[#This Row],[BIZD S]]+Dashboard!$C$20*tblHistory[[#This Row],[BKLN S]]+Dashboard!$C$21*tblHistory[[#This Row],[HY S]])/(Dashboard!$C$19+Dashboard!$C$20+Dashboard!$C$21)*100</f>
        <v/>
      </c>
      <c r="W65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5" s="46">
        <f>IFERROR(--(tblHistory[[#This Row],[Score]]&gt;=50),0)</f>
        <v/>
      </c>
      <c r="Y655" s="46">
        <f>IFERROR(--AND(tblHistory[[#This Row],[Score]]&gt;=60,OR(AND(tblHistory[[#This Row],[BIZD S]]&gt;=0.8,tblHistory[[#This Row],[BKLN S]]&gt;=0.5),tblHistory[[#This Row],[CCC S]]&gt;=0.8)),0)</f>
        <v/>
      </c>
      <c r="Z655" s="46">
        <f>IFERROR(--AND(tblHistory[[#This Row],[Score]]&gt;=70,tblHistory[[#This Row],[SOX S]]&gt;=0.83,tblHistory[[#This Row],[AIQ S]]&gt;=0.8),0)</f>
        <v/>
      </c>
      <c r="AA65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6">
      <c r="A656" s="42" t="n">
        <v>45372</v>
      </c>
      <c r="B656" s="43" t="n">
        <v>18320.3809</v>
      </c>
      <c r="C656" s="43" t="n">
        <v>4897.8799</v>
      </c>
      <c r="D656" s="43" t="n">
        <v>33.9512</v>
      </c>
      <c r="E656" s="43" t="n">
        <v>15.004</v>
      </c>
      <c r="F656" s="44" t="n">
        <v>114</v>
      </c>
      <c r="G656" s="44" t="n">
        <v>846</v>
      </c>
      <c r="H656" s="43" t="n">
        <v>12.1061</v>
      </c>
      <c r="I656" s="43" t="n">
        <v>17.5288</v>
      </c>
      <c r="J656" s="44" t="n">
        <v>305</v>
      </c>
      <c r="K65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6" s="46">
        <f>(Dashboard!$C$13*tblHistory[[#This Row],[NDX S]]+Dashboard!$C$14*tblHistory[[#This Row],[SOX S]]+Dashboard!$C$15*tblHistory[[#This Row],[AIQ S]])/(Dashboard!$C$13+Dashboard!$C$14+Dashboard!$C$15)*100</f>
        <v/>
      </c>
      <c r="U656" s="46">
        <f>(Dashboard!$C$16*tblHistory[[#This Row],[DTCR S]]+Dashboard!$C$17*tblHistory[[#This Row],[BBB S]]+Dashboard!$C$18*tblHistory[[#This Row],[CCC S]])/(Dashboard!$C$16+Dashboard!$C$17+Dashboard!$C$18)*100</f>
        <v/>
      </c>
      <c r="V656" s="46">
        <f>(Dashboard!$C$19*tblHistory[[#This Row],[BIZD S]]+Dashboard!$C$20*tblHistory[[#This Row],[BKLN S]]+Dashboard!$C$21*tblHistory[[#This Row],[HY S]])/(Dashboard!$C$19+Dashboard!$C$20+Dashboard!$C$21)*100</f>
        <v/>
      </c>
      <c r="W65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6" s="46">
        <f>IFERROR(--(tblHistory[[#This Row],[Score]]&gt;=50),0)</f>
        <v/>
      </c>
      <c r="Y656" s="46">
        <f>IFERROR(--AND(tblHistory[[#This Row],[Score]]&gt;=60,OR(AND(tblHistory[[#This Row],[BIZD S]]&gt;=0.8,tblHistory[[#This Row],[BKLN S]]&gt;=0.5),tblHistory[[#This Row],[CCC S]]&gt;=0.8)),0)</f>
        <v/>
      </c>
      <c r="Z656" s="46">
        <f>IFERROR(--AND(tblHistory[[#This Row],[Score]]&gt;=70,tblHistory[[#This Row],[SOX S]]&gt;=0.83,tblHistory[[#This Row],[AIQ S]]&gt;=0.8),0)</f>
        <v/>
      </c>
      <c r="AA65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7">
      <c r="A657" s="42" t="n">
        <v>45371</v>
      </c>
      <c r="B657" s="43" t="n">
        <v>18240.1094</v>
      </c>
      <c r="C657" s="43" t="n">
        <v>4788.1802</v>
      </c>
      <c r="D657" s="43" t="n">
        <v>33.8416</v>
      </c>
      <c r="E657" s="43" t="n">
        <v>14.9169</v>
      </c>
      <c r="F657" s="44" t="n">
        <v>116</v>
      </c>
      <c r="G657" s="44" t="n">
        <v>848</v>
      </c>
      <c r="H657" s="43" t="n">
        <v>12.0547</v>
      </c>
      <c r="I657" s="43" t="n">
        <v>17.5288</v>
      </c>
      <c r="J657" s="44" t="n">
        <v>314</v>
      </c>
      <c r="K65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7" s="46">
        <f>(Dashboard!$C$13*tblHistory[[#This Row],[NDX S]]+Dashboard!$C$14*tblHistory[[#This Row],[SOX S]]+Dashboard!$C$15*tblHistory[[#This Row],[AIQ S]])/(Dashboard!$C$13+Dashboard!$C$14+Dashboard!$C$15)*100</f>
        <v/>
      </c>
      <c r="U657" s="46">
        <f>(Dashboard!$C$16*tblHistory[[#This Row],[DTCR S]]+Dashboard!$C$17*tblHistory[[#This Row],[BBB S]]+Dashboard!$C$18*tblHistory[[#This Row],[CCC S]])/(Dashboard!$C$16+Dashboard!$C$17+Dashboard!$C$18)*100</f>
        <v/>
      </c>
      <c r="V657" s="46">
        <f>(Dashboard!$C$19*tblHistory[[#This Row],[BIZD S]]+Dashboard!$C$20*tblHistory[[#This Row],[BKLN S]]+Dashboard!$C$21*tblHistory[[#This Row],[HY S]])/(Dashboard!$C$19+Dashboard!$C$20+Dashboard!$C$21)*100</f>
        <v/>
      </c>
      <c r="W65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7" s="46">
        <f>IFERROR(--(tblHistory[[#This Row],[Score]]&gt;=50),0)</f>
        <v/>
      </c>
      <c r="Y657" s="46">
        <f>IFERROR(--AND(tblHistory[[#This Row],[Score]]&gt;=60,OR(AND(tblHistory[[#This Row],[BIZD S]]&gt;=0.8,tblHistory[[#This Row],[BKLN S]]&gt;=0.5),tblHistory[[#This Row],[CCC S]]&gt;=0.8)),0)</f>
        <v/>
      </c>
      <c r="Z657" s="46">
        <f>IFERROR(--AND(tblHistory[[#This Row],[Score]]&gt;=70,tblHistory[[#This Row],[SOX S]]&gt;=0.83,tblHistory[[#This Row],[AIQ S]]&gt;=0.8),0)</f>
        <v/>
      </c>
      <c r="AA65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8">
      <c r="A658" s="42" t="n">
        <v>45370</v>
      </c>
      <c r="B658" s="43" t="n">
        <v>18032.1992</v>
      </c>
      <c r="C658" s="43" t="n">
        <v>4712.8101</v>
      </c>
      <c r="D658" s="43" t="n">
        <v>33.3433</v>
      </c>
      <c r="E658" s="43" t="n">
        <v>14.8685</v>
      </c>
      <c r="F658" s="44" t="n">
        <v>115</v>
      </c>
      <c r="G658" s="44" t="n">
        <v>839</v>
      </c>
      <c r="H658" s="43" t="n">
        <v>11.996</v>
      </c>
      <c r="I658" s="43" t="n">
        <v>17.5039</v>
      </c>
      <c r="J658" s="44" t="n">
        <v>310</v>
      </c>
      <c r="K65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8" s="46">
        <f>(Dashboard!$C$13*tblHistory[[#This Row],[NDX S]]+Dashboard!$C$14*tblHistory[[#This Row],[SOX S]]+Dashboard!$C$15*tblHistory[[#This Row],[AIQ S]])/(Dashboard!$C$13+Dashboard!$C$14+Dashboard!$C$15)*100</f>
        <v/>
      </c>
      <c r="U658" s="46">
        <f>(Dashboard!$C$16*tblHistory[[#This Row],[DTCR S]]+Dashboard!$C$17*tblHistory[[#This Row],[BBB S]]+Dashboard!$C$18*tblHistory[[#This Row],[CCC S]])/(Dashboard!$C$16+Dashboard!$C$17+Dashboard!$C$18)*100</f>
        <v/>
      </c>
      <c r="V658" s="46">
        <f>(Dashboard!$C$19*tblHistory[[#This Row],[BIZD S]]+Dashboard!$C$20*tblHistory[[#This Row],[BKLN S]]+Dashboard!$C$21*tblHistory[[#This Row],[HY S]])/(Dashboard!$C$19+Dashboard!$C$20+Dashboard!$C$21)*100</f>
        <v/>
      </c>
      <c r="W65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8" s="46">
        <f>IFERROR(--(tblHistory[[#This Row],[Score]]&gt;=50),0)</f>
        <v/>
      </c>
      <c r="Y658" s="46">
        <f>IFERROR(--AND(tblHistory[[#This Row],[Score]]&gt;=60,OR(AND(tblHistory[[#This Row],[BIZD S]]&gt;=0.8,tblHistory[[#This Row],[BKLN S]]&gt;=0.5),tblHistory[[#This Row],[CCC S]]&gt;=0.8)),0)</f>
        <v/>
      </c>
      <c r="Z658" s="46">
        <f>IFERROR(--AND(tblHistory[[#This Row],[Score]]&gt;=70,tblHistory[[#This Row],[SOX S]]&gt;=0.83,tblHistory[[#This Row],[AIQ S]]&gt;=0.8),0)</f>
        <v/>
      </c>
      <c r="AA65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59">
      <c r="A659" s="42" t="n">
        <v>45369</v>
      </c>
      <c r="B659" s="43" t="n">
        <v>17985.0098</v>
      </c>
      <c r="C659" s="43" t="n">
        <v>4757.6001</v>
      </c>
      <c r="D659" s="43" t="n">
        <v>33.3533</v>
      </c>
      <c r="E659" s="43" t="n">
        <v>15.1152</v>
      </c>
      <c r="F659" s="44" t="n">
        <v>115</v>
      </c>
      <c r="G659" s="44" t="n">
        <v>849</v>
      </c>
      <c r="H659" s="43" t="n">
        <v>11.996</v>
      </c>
      <c r="I659" s="43" t="n">
        <v>17.4873</v>
      </c>
      <c r="J659" s="44" t="n">
        <v>313</v>
      </c>
      <c r="K65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5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5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5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5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5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5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5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5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59" s="46">
        <f>(Dashboard!$C$13*tblHistory[[#This Row],[NDX S]]+Dashboard!$C$14*tblHistory[[#This Row],[SOX S]]+Dashboard!$C$15*tblHistory[[#This Row],[AIQ S]])/(Dashboard!$C$13+Dashboard!$C$14+Dashboard!$C$15)*100</f>
        <v/>
      </c>
      <c r="U659" s="46">
        <f>(Dashboard!$C$16*tblHistory[[#This Row],[DTCR S]]+Dashboard!$C$17*tblHistory[[#This Row],[BBB S]]+Dashboard!$C$18*tblHistory[[#This Row],[CCC S]])/(Dashboard!$C$16+Dashboard!$C$17+Dashboard!$C$18)*100</f>
        <v/>
      </c>
      <c r="V659" s="46">
        <f>(Dashboard!$C$19*tblHistory[[#This Row],[BIZD S]]+Dashboard!$C$20*tblHistory[[#This Row],[BKLN S]]+Dashboard!$C$21*tblHistory[[#This Row],[HY S]])/(Dashboard!$C$19+Dashboard!$C$20+Dashboard!$C$21)*100</f>
        <v/>
      </c>
      <c r="W65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59" s="46">
        <f>IFERROR(--(tblHistory[[#This Row],[Score]]&gt;=50),0)</f>
        <v/>
      </c>
      <c r="Y659" s="46">
        <f>IFERROR(--AND(tblHistory[[#This Row],[Score]]&gt;=60,OR(AND(tblHistory[[#This Row],[BIZD S]]&gt;=0.8,tblHistory[[#This Row],[BKLN S]]&gt;=0.5),tblHistory[[#This Row],[CCC S]]&gt;=0.8)),0)</f>
        <v/>
      </c>
      <c r="Z659" s="46">
        <f>IFERROR(--AND(tblHistory[[#This Row],[Score]]&gt;=70,tblHistory[[#This Row],[SOX S]]&gt;=0.83,tblHistory[[#This Row],[AIQ S]]&gt;=0.8),0)</f>
        <v/>
      </c>
      <c r="AA65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5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5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5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5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0">
      <c r="A660" s="42" t="n">
        <v>45366</v>
      </c>
      <c r="B660" s="43" t="n">
        <v>17808.25</v>
      </c>
      <c r="C660" s="43" t="n">
        <v>4757.71</v>
      </c>
      <c r="D660" s="43" t="n">
        <v>33.0344</v>
      </c>
      <c r="E660" s="43" t="n">
        <v>15.091</v>
      </c>
      <c r="F660" s="44" t="n">
        <v>117</v>
      </c>
      <c r="G660" s="44" t="n">
        <v>852</v>
      </c>
      <c r="H660" s="43" t="n">
        <v>12.04</v>
      </c>
      <c r="I660" s="43" t="n">
        <v>17.4823</v>
      </c>
      <c r="J660" s="44" t="n">
        <v>316</v>
      </c>
      <c r="K66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0" s="46">
        <f>(Dashboard!$C$13*tblHistory[[#This Row],[NDX S]]+Dashboard!$C$14*tblHistory[[#This Row],[SOX S]]+Dashboard!$C$15*tblHistory[[#This Row],[AIQ S]])/(Dashboard!$C$13+Dashboard!$C$14+Dashboard!$C$15)*100</f>
        <v/>
      </c>
      <c r="U660" s="46">
        <f>(Dashboard!$C$16*tblHistory[[#This Row],[DTCR S]]+Dashboard!$C$17*tblHistory[[#This Row],[BBB S]]+Dashboard!$C$18*tblHistory[[#This Row],[CCC S]])/(Dashboard!$C$16+Dashboard!$C$17+Dashboard!$C$18)*100</f>
        <v/>
      </c>
      <c r="V660" s="46">
        <f>(Dashboard!$C$19*tblHistory[[#This Row],[BIZD S]]+Dashboard!$C$20*tblHistory[[#This Row],[BKLN S]]+Dashboard!$C$21*tblHistory[[#This Row],[HY S]])/(Dashboard!$C$19+Dashboard!$C$20+Dashboard!$C$21)*100</f>
        <v/>
      </c>
      <c r="W66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0" s="46">
        <f>IFERROR(--(tblHistory[[#This Row],[Score]]&gt;=50),0)</f>
        <v/>
      </c>
      <c r="Y660" s="46">
        <f>IFERROR(--AND(tblHistory[[#This Row],[Score]]&gt;=60,OR(AND(tblHistory[[#This Row],[BIZD S]]&gt;=0.8,tblHistory[[#This Row],[BKLN S]]&gt;=0.5),tblHistory[[#This Row],[CCC S]]&gt;=0.8)),0)</f>
        <v/>
      </c>
      <c r="Z660" s="46">
        <f>IFERROR(--AND(tblHistory[[#This Row],[Score]]&gt;=70,tblHistory[[#This Row],[SOX S]]&gt;=0.83,tblHistory[[#This Row],[AIQ S]]&gt;=0.8),0)</f>
        <v/>
      </c>
      <c r="AA66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1">
      <c r="A661" s="42" t="n">
        <v>45365</v>
      </c>
      <c r="B661" s="43" t="n">
        <v>18014.8105</v>
      </c>
      <c r="C661" s="43" t="n">
        <v>4783.6499</v>
      </c>
      <c r="D661" s="43" t="n">
        <v>33.5626</v>
      </c>
      <c r="E661" s="43" t="n">
        <v>15.2845</v>
      </c>
      <c r="F661" s="44" t="n">
        <v>117</v>
      </c>
      <c r="G661" s="44" t="n">
        <v>849</v>
      </c>
      <c r="H661" s="43" t="n">
        <v>11.952</v>
      </c>
      <c r="I661" s="43" t="n">
        <v>17.4741</v>
      </c>
      <c r="J661" s="44" t="n">
        <v>315</v>
      </c>
      <c r="K66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1" s="46">
        <f>(Dashboard!$C$13*tblHistory[[#This Row],[NDX S]]+Dashboard!$C$14*tblHistory[[#This Row],[SOX S]]+Dashboard!$C$15*tblHistory[[#This Row],[AIQ S]])/(Dashboard!$C$13+Dashboard!$C$14+Dashboard!$C$15)*100</f>
        <v/>
      </c>
      <c r="U661" s="46">
        <f>(Dashboard!$C$16*tblHistory[[#This Row],[DTCR S]]+Dashboard!$C$17*tblHistory[[#This Row],[BBB S]]+Dashboard!$C$18*tblHistory[[#This Row],[CCC S]])/(Dashboard!$C$16+Dashboard!$C$17+Dashboard!$C$18)*100</f>
        <v/>
      </c>
      <c r="V661" s="46">
        <f>(Dashboard!$C$19*tblHistory[[#This Row],[BIZD S]]+Dashboard!$C$20*tblHistory[[#This Row],[BKLN S]]+Dashboard!$C$21*tblHistory[[#This Row],[HY S]])/(Dashboard!$C$19+Dashboard!$C$20+Dashboard!$C$21)*100</f>
        <v/>
      </c>
      <c r="W66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1" s="46">
        <f>IFERROR(--(tblHistory[[#This Row],[Score]]&gt;=50),0)</f>
        <v/>
      </c>
      <c r="Y661" s="46">
        <f>IFERROR(--AND(tblHistory[[#This Row],[Score]]&gt;=60,OR(AND(tblHistory[[#This Row],[BIZD S]]&gt;=0.8,tblHistory[[#This Row],[BKLN S]]&gt;=0.5),tblHistory[[#This Row],[CCC S]]&gt;=0.8)),0)</f>
        <v/>
      </c>
      <c r="Z661" s="46">
        <f>IFERROR(--AND(tblHistory[[#This Row],[Score]]&gt;=70,tblHistory[[#This Row],[SOX S]]&gt;=0.83,tblHistory[[#This Row],[AIQ S]]&gt;=0.8),0)</f>
        <v/>
      </c>
      <c r="AA66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2">
      <c r="A662" s="42" t="n">
        <v>45364</v>
      </c>
      <c r="B662" s="43" t="n">
        <v>18068.4707</v>
      </c>
      <c r="C662" s="43" t="n">
        <v>4868.9502</v>
      </c>
      <c r="D662" s="43" t="n">
        <v>33.8416</v>
      </c>
      <c r="E662" s="43" t="n">
        <v>15.4296</v>
      </c>
      <c r="F662" s="44" t="n">
        <v>119</v>
      </c>
      <c r="G662" s="44" t="n">
        <v>849</v>
      </c>
      <c r="H662" s="43" t="n">
        <v>12.1427</v>
      </c>
      <c r="I662" s="43" t="n">
        <v>17.4823</v>
      </c>
      <c r="J662" s="44" t="n">
        <v>315</v>
      </c>
      <c r="K66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2" s="46">
        <f>(Dashboard!$C$13*tblHistory[[#This Row],[NDX S]]+Dashboard!$C$14*tblHistory[[#This Row],[SOX S]]+Dashboard!$C$15*tblHistory[[#This Row],[AIQ S]])/(Dashboard!$C$13+Dashboard!$C$14+Dashboard!$C$15)*100</f>
        <v/>
      </c>
      <c r="U662" s="46">
        <f>(Dashboard!$C$16*tblHistory[[#This Row],[DTCR S]]+Dashboard!$C$17*tblHistory[[#This Row],[BBB S]]+Dashboard!$C$18*tblHistory[[#This Row],[CCC S]])/(Dashboard!$C$16+Dashboard!$C$17+Dashboard!$C$18)*100</f>
        <v/>
      </c>
      <c r="V662" s="46">
        <f>(Dashboard!$C$19*tblHistory[[#This Row],[BIZD S]]+Dashboard!$C$20*tblHistory[[#This Row],[BKLN S]]+Dashboard!$C$21*tblHistory[[#This Row],[HY S]])/(Dashboard!$C$19+Dashboard!$C$20+Dashboard!$C$21)*100</f>
        <v/>
      </c>
      <c r="W66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2" s="46">
        <f>IFERROR(--(tblHistory[[#This Row],[Score]]&gt;=50),0)</f>
        <v/>
      </c>
      <c r="Y662" s="46">
        <f>IFERROR(--AND(tblHistory[[#This Row],[Score]]&gt;=60,OR(AND(tblHistory[[#This Row],[BIZD S]]&gt;=0.8,tblHistory[[#This Row],[BKLN S]]&gt;=0.5),tblHistory[[#This Row],[CCC S]]&gt;=0.8)),0)</f>
        <v/>
      </c>
      <c r="Z662" s="46">
        <f>IFERROR(--AND(tblHistory[[#This Row],[Score]]&gt;=70,tblHistory[[#This Row],[SOX S]]&gt;=0.83,tblHistory[[#This Row],[AIQ S]]&gt;=0.8),0)</f>
        <v/>
      </c>
      <c r="AA66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3">
      <c r="A663" s="42" t="n">
        <v>45363</v>
      </c>
      <c r="B663" s="43" t="n">
        <v>18219.1094</v>
      </c>
      <c r="C663" s="43" t="n">
        <v>4992.5098</v>
      </c>
      <c r="D663" s="43" t="n">
        <v>34.1007</v>
      </c>
      <c r="E663" s="43" t="n">
        <v>15.5554</v>
      </c>
      <c r="F663" s="44" t="n">
        <v>121</v>
      </c>
      <c r="G663" s="44" t="n">
        <v>857</v>
      </c>
      <c r="H663" s="43" t="n">
        <v>12.1134</v>
      </c>
      <c r="I663" s="43" t="n">
        <v>17.4906</v>
      </c>
      <c r="J663" s="44" t="n">
        <v>320</v>
      </c>
      <c r="K66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3" s="46">
        <f>(Dashboard!$C$13*tblHistory[[#This Row],[NDX S]]+Dashboard!$C$14*tblHistory[[#This Row],[SOX S]]+Dashboard!$C$15*tblHistory[[#This Row],[AIQ S]])/(Dashboard!$C$13+Dashboard!$C$14+Dashboard!$C$15)*100</f>
        <v/>
      </c>
      <c r="U663" s="46">
        <f>(Dashboard!$C$16*tblHistory[[#This Row],[DTCR S]]+Dashboard!$C$17*tblHistory[[#This Row],[BBB S]]+Dashboard!$C$18*tblHistory[[#This Row],[CCC S]])/(Dashboard!$C$16+Dashboard!$C$17+Dashboard!$C$18)*100</f>
        <v/>
      </c>
      <c r="V663" s="46">
        <f>(Dashboard!$C$19*tblHistory[[#This Row],[BIZD S]]+Dashboard!$C$20*tblHistory[[#This Row],[BKLN S]]+Dashboard!$C$21*tblHistory[[#This Row],[HY S]])/(Dashboard!$C$19+Dashboard!$C$20+Dashboard!$C$21)*100</f>
        <v/>
      </c>
      <c r="W66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3" s="46">
        <f>IFERROR(--(tblHistory[[#This Row],[Score]]&gt;=50),0)</f>
        <v/>
      </c>
      <c r="Y663" s="46">
        <f>IFERROR(--AND(tblHistory[[#This Row],[Score]]&gt;=60,OR(AND(tblHistory[[#This Row],[BIZD S]]&gt;=0.8,tblHistory[[#This Row],[BKLN S]]&gt;=0.5),tblHistory[[#This Row],[CCC S]]&gt;=0.8)),0)</f>
        <v/>
      </c>
      <c r="Z663" s="46">
        <f>IFERROR(--AND(tblHistory[[#This Row],[Score]]&gt;=70,tblHistory[[#This Row],[SOX S]]&gt;=0.83,tblHistory[[#This Row],[AIQ S]]&gt;=0.8),0)</f>
        <v/>
      </c>
      <c r="AA66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4">
      <c r="A664" s="42" t="n">
        <v>45362</v>
      </c>
      <c r="B664" s="43" t="n">
        <v>17951.6895</v>
      </c>
      <c r="C664" s="43" t="n">
        <v>4890.2002</v>
      </c>
      <c r="D664" s="43" t="n">
        <v>33.433</v>
      </c>
      <c r="E664" s="43" t="n">
        <v>15.4683</v>
      </c>
      <c r="F664" s="44" t="n">
        <v>123</v>
      </c>
      <c r="G664" s="44" t="n">
        <v>866</v>
      </c>
      <c r="H664" s="43" t="n">
        <v>12.0767</v>
      </c>
      <c r="I664" s="43" t="n">
        <v>17.4659</v>
      </c>
      <c r="J664" s="44" t="n">
        <v>326</v>
      </c>
      <c r="K66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4" s="46">
        <f>(Dashboard!$C$13*tblHistory[[#This Row],[NDX S]]+Dashboard!$C$14*tblHistory[[#This Row],[SOX S]]+Dashboard!$C$15*tblHistory[[#This Row],[AIQ S]])/(Dashboard!$C$13+Dashboard!$C$14+Dashboard!$C$15)*100</f>
        <v/>
      </c>
      <c r="U664" s="46">
        <f>(Dashboard!$C$16*tblHistory[[#This Row],[DTCR S]]+Dashboard!$C$17*tblHistory[[#This Row],[BBB S]]+Dashboard!$C$18*tblHistory[[#This Row],[CCC S]])/(Dashboard!$C$16+Dashboard!$C$17+Dashboard!$C$18)*100</f>
        <v/>
      </c>
      <c r="V664" s="46">
        <f>(Dashboard!$C$19*tblHistory[[#This Row],[BIZD S]]+Dashboard!$C$20*tblHistory[[#This Row],[BKLN S]]+Dashboard!$C$21*tblHistory[[#This Row],[HY S]])/(Dashboard!$C$19+Dashboard!$C$20+Dashboard!$C$21)*100</f>
        <v/>
      </c>
      <c r="W66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4" s="46">
        <f>IFERROR(--(tblHistory[[#This Row],[Score]]&gt;=50),0)</f>
        <v/>
      </c>
      <c r="Y664" s="46">
        <f>IFERROR(--AND(tblHistory[[#This Row],[Score]]&gt;=60,OR(AND(tblHistory[[#This Row],[BIZD S]]&gt;=0.8,tblHistory[[#This Row],[BKLN S]]&gt;=0.5),tblHistory[[#This Row],[CCC S]]&gt;=0.8)),0)</f>
        <v/>
      </c>
      <c r="Z664" s="46">
        <f>IFERROR(--AND(tblHistory[[#This Row],[Score]]&gt;=70,tblHistory[[#This Row],[SOX S]]&gt;=0.83,tblHistory[[#This Row],[AIQ S]]&gt;=0.8),0)</f>
        <v/>
      </c>
      <c r="AA66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5">
      <c r="A665" s="42" t="n">
        <v>45359</v>
      </c>
      <c r="B665" s="43" t="n">
        <v>18018.4492</v>
      </c>
      <c r="C665" s="43" t="n">
        <v>4957.7798</v>
      </c>
      <c r="D665" s="43" t="n">
        <v>33.5327</v>
      </c>
      <c r="E665" s="43" t="n">
        <v>15.5457</v>
      </c>
      <c r="F665" s="44" t="n">
        <v>123</v>
      </c>
      <c r="G665" s="44" t="n">
        <v>868</v>
      </c>
      <c r="H665" s="43" t="n">
        <v>12.0327</v>
      </c>
      <c r="I665" s="43" t="n">
        <v>17.4576</v>
      </c>
      <c r="J665" s="44" t="n">
        <v>326</v>
      </c>
      <c r="K66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5" s="46">
        <f>(Dashboard!$C$13*tblHistory[[#This Row],[NDX S]]+Dashboard!$C$14*tblHistory[[#This Row],[SOX S]]+Dashboard!$C$15*tblHistory[[#This Row],[AIQ S]])/(Dashboard!$C$13+Dashboard!$C$14+Dashboard!$C$15)*100</f>
        <v/>
      </c>
      <c r="U665" s="46">
        <f>(Dashboard!$C$16*tblHistory[[#This Row],[DTCR S]]+Dashboard!$C$17*tblHistory[[#This Row],[BBB S]]+Dashboard!$C$18*tblHistory[[#This Row],[CCC S]])/(Dashboard!$C$16+Dashboard!$C$17+Dashboard!$C$18)*100</f>
        <v/>
      </c>
      <c r="V665" s="46">
        <f>(Dashboard!$C$19*tblHistory[[#This Row],[BIZD S]]+Dashboard!$C$20*tblHistory[[#This Row],[BKLN S]]+Dashboard!$C$21*tblHistory[[#This Row],[HY S]])/(Dashboard!$C$19+Dashboard!$C$20+Dashboard!$C$21)*100</f>
        <v/>
      </c>
      <c r="W66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5" s="46">
        <f>IFERROR(--(tblHistory[[#This Row],[Score]]&gt;=50),0)</f>
        <v/>
      </c>
      <c r="Y665" s="46">
        <f>IFERROR(--AND(tblHistory[[#This Row],[Score]]&gt;=60,OR(AND(tblHistory[[#This Row],[BIZD S]]&gt;=0.8,tblHistory[[#This Row],[BKLN S]]&gt;=0.5),tblHistory[[#This Row],[CCC S]]&gt;=0.8)),0)</f>
        <v/>
      </c>
      <c r="Z665" s="46">
        <f>IFERROR(--AND(tblHistory[[#This Row],[Score]]&gt;=70,tblHistory[[#This Row],[SOX S]]&gt;=0.83,tblHistory[[#This Row],[AIQ S]]&gt;=0.8),0)</f>
        <v/>
      </c>
      <c r="AA66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6">
      <c r="A666" s="42" t="n">
        <v>45358</v>
      </c>
      <c r="B666" s="43" t="n">
        <v>18297.9902</v>
      </c>
      <c r="C666" s="43" t="n">
        <v>5165.8301</v>
      </c>
      <c r="D666" s="43" t="n">
        <v>33.9014</v>
      </c>
      <c r="E666" s="43" t="n">
        <v>15.5167</v>
      </c>
      <c r="F666" s="44" t="n">
        <v>124</v>
      </c>
      <c r="G666" s="44" t="n">
        <v>868</v>
      </c>
      <c r="H666" s="43" t="n">
        <v>12.0033</v>
      </c>
      <c r="I666" s="43" t="n">
        <v>17.4576</v>
      </c>
      <c r="J666" s="44" t="n">
        <v>327</v>
      </c>
      <c r="K66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6" s="46">
        <f>(Dashboard!$C$13*tblHistory[[#This Row],[NDX S]]+Dashboard!$C$14*tblHistory[[#This Row],[SOX S]]+Dashboard!$C$15*tblHistory[[#This Row],[AIQ S]])/(Dashboard!$C$13+Dashboard!$C$14+Dashboard!$C$15)*100</f>
        <v/>
      </c>
      <c r="U666" s="46">
        <f>(Dashboard!$C$16*tblHistory[[#This Row],[DTCR S]]+Dashboard!$C$17*tblHistory[[#This Row],[BBB S]]+Dashboard!$C$18*tblHistory[[#This Row],[CCC S]])/(Dashboard!$C$16+Dashboard!$C$17+Dashboard!$C$18)*100</f>
        <v/>
      </c>
      <c r="V666" s="46">
        <f>(Dashboard!$C$19*tblHistory[[#This Row],[BIZD S]]+Dashboard!$C$20*tblHistory[[#This Row],[BKLN S]]+Dashboard!$C$21*tblHistory[[#This Row],[HY S]])/(Dashboard!$C$19+Dashboard!$C$20+Dashboard!$C$21)*100</f>
        <v/>
      </c>
      <c r="W66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6" s="46">
        <f>IFERROR(--(tblHistory[[#This Row],[Score]]&gt;=50),0)</f>
        <v/>
      </c>
      <c r="Y666" s="46">
        <f>IFERROR(--AND(tblHistory[[#This Row],[Score]]&gt;=60,OR(AND(tblHistory[[#This Row],[BIZD S]]&gt;=0.8,tblHistory[[#This Row],[BKLN S]]&gt;=0.5),tblHistory[[#This Row],[CCC S]]&gt;=0.8)),0)</f>
        <v/>
      </c>
      <c r="Z666" s="46">
        <f>IFERROR(--AND(tblHistory[[#This Row],[Score]]&gt;=70,tblHistory[[#This Row],[SOX S]]&gt;=0.83,tblHistory[[#This Row],[AIQ S]]&gt;=0.8),0)</f>
        <v/>
      </c>
      <c r="AA66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7">
      <c r="A667" s="42" t="n">
        <v>45357</v>
      </c>
      <c r="B667" s="43" t="n">
        <v>18017.5703</v>
      </c>
      <c r="C667" s="43" t="n">
        <v>4997.9302</v>
      </c>
      <c r="D667" s="43" t="n">
        <v>33.4131</v>
      </c>
      <c r="E667" s="43" t="n">
        <v>15.42</v>
      </c>
      <c r="F667" s="44" t="n">
        <v>125</v>
      </c>
      <c r="G667" s="44" t="n">
        <v>869</v>
      </c>
      <c r="H667" s="43" t="n">
        <v>11.974</v>
      </c>
      <c r="I667" s="43" t="n">
        <v>17.4494</v>
      </c>
      <c r="J667" s="44" t="n">
        <v>327</v>
      </c>
      <c r="K66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7" s="46">
        <f>(Dashboard!$C$13*tblHistory[[#This Row],[NDX S]]+Dashboard!$C$14*tblHistory[[#This Row],[SOX S]]+Dashboard!$C$15*tblHistory[[#This Row],[AIQ S]])/(Dashboard!$C$13+Dashboard!$C$14+Dashboard!$C$15)*100</f>
        <v/>
      </c>
      <c r="U667" s="46">
        <f>(Dashboard!$C$16*tblHistory[[#This Row],[DTCR S]]+Dashboard!$C$17*tblHistory[[#This Row],[BBB S]]+Dashboard!$C$18*tblHistory[[#This Row],[CCC S]])/(Dashboard!$C$16+Dashboard!$C$17+Dashboard!$C$18)*100</f>
        <v/>
      </c>
      <c r="V667" s="46">
        <f>(Dashboard!$C$19*tblHistory[[#This Row],[BIZD S]]+Dashboard!$C$20*tblHistory[[#This Row],[BKLN S]]+Dashboard!$C$21*tblHistory[[#This Row],[HY S]])/(Dashboard!$C$19+Dashboard!$C$20+Dashboard!$C$21)*100</f>
        <v/>
      </c>
      <c r="W66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7" s="46">
        <f>IFERROR(--(tblHistory[[#This Row],[Score]]&gt;=50),0)</f>
        <v/>
      </c>
      <c r="Y667" s="46">
        <f>IFERROR(--AND(tblHistory[[#This Row],[Score]]&gt;=60,OR(AND(tblHistory[[#This Row],[BIZD S]]&gt;=0.8,tblHistory[[#This Row],[BKLN S]]&gt;=0.5),tblHistory[[#This Row],[CCC S]]&gt;=0.8)),0)</f>
        <v/>
      </c>
      <c r="Z667" s="46">
        <f>IFERROR(--AND(tblHistory[[#This Row],[Score]]&gt;=70,tblHistory[[#This Row],[SOX S]]&gt;=0.83,tblHistory[[#This Row],[AIQ S]]&gt;=0.8),0)</f>
        <v/>
      </c>
      <c r="AA66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8">
      <c r="A668" s="42" t="n">
        <v>45356</v>
      </c>
      <c r="B668" s="43" t="n">
        <v>17897.8691</v>
      </c>
      <c r="C668" s="43" t="n">
        <v>4879.8301</v>
      </c>
      <c r="D668" s="43" t="n">
        <v>33.0643</v>
      </c>
      <c r="E668" s="43" t="n">
        <v>15.2168</v>
      </c>
      <c r="F668" s="44" t="n">
        <v>125</v>
      </c>
      <c r="G668" s="44" t="n">
        <v>872</v>
      </c>
      <c r="H668" s="43" t="n">
        <v>11.8713</v>
      </c>
      <c r="I668" s="43" t="n">
        <v>17.4164</v>
      </c>
      <c r="J668" s="44" t="n">
        <v>331</v>
      </c>
      <c r="K66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8" s="46">
        <f>(Dashboard!$C$13*tblHistory[[#This Row],[NDX S]]+Dashboard!$C$14*tblHistory[[#This Row],[SOX S]]+Dashboard!$C$15*tblHistory[[#This Row],[AIQ S]])/(Dashboard!$C$13+Dashboard!$C$14+Dashboard!$C$15)*100</f>
        <v/>
      </c>
      <c r="U668" s="46">
        <f>(Dashboard!$C$16*tblHistory[[#This Row],[DTCR S]]+Dashboard!$C$17*tblHistory[[#This Row],[BBB S]]+Dashboard!$C$18*tblHistory[[#This Row],[CCC S]])/(Dashboard!$C$16+Dashboard!$C$17+Dashboard!$C$18)*100</f>
        <v/>
      </c>
      <c r="V668" s="46">
        <f>(Dashboard!$C$19*tblHistory[[#This Row],[BIZD S]]+Dashboard!$C$20*tblHistory[[#This Row],[BKLN S]]+Dashboard!$C$21*tblHistory[[#This Row],[HY S]])/(Dashboard!$C$19+Dashboard!$C$20+Dashboard!$C$21)*100</f>
        <v/>
      </c>
      <c r="W66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8" s="46">
        <f>IFERROR(--(tblHistory[[#This Row],[Score]]&gt;=50),0)</f>
        <v/>
      </c>
      <c r="Y668" s="46">
        <f>IFERROR(--AND(tblHistory[[#This Row],[Score]]&gt;=60,OR(AND(tblHistory[[#This Row],[BIZD S]]&gt;=0.8,tblHistory[[#This Row],[BKLN S]]&gt;=0.5),tblHistory[[#This Row],[CCC S]]&gt;=0.8)),0)</f>
        <v/>
      </c>
      <c r="Z668" s="46">
        <f>IFERROR(--AND(tblHistory[[#This Row],[Score]]&gt;=70,tblHistory[[#This Row],[SOX S]]&gt;=0.83,tblHistory[[#This Row],[AIQ S]]&gt;=0.8),0)</f>
        <v/>
      </c>
      <c r="AA66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69">
      <c r="A669" s="42" t="n">
        <v>45355</v>
      </c>
      <c r="B669" s="43" t="n">
        <v>18226.4805</v>
      </c>
      <c r="C669" s="43" t="n">
        <v>4981.9702</v>
      </c>
      <c r="D669" s="43" t="n">
        <v>33.7918</v>
      </c>
      <c r="E669" s="43" t="n">
        <v>15.3716</v>
      </c>
      <c r="F669" s="44" t="n">
        <v>124</v>
      </c>
      <c r="G669" s="44" t="n">
        <v>871</v>
      </c>
      <c r="H669" s="43" t="n">
        <v>11.9446</v>
      </c>
      <c r="I669" s="43" t="n">
        <v>17.4329</v>
      </c>
      <c r="J669" s="44" t="n">
        <v>326</v>
      </c>
      <c r="K66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6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6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6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6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6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6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6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6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69" s="46">
        <f>(Dashboard!$C$13*tblHistory[[#This Row],[NDX S]]+Dashboard!$C$14*tblHistory[[#This Row],[SOX S]]+Dashboard!$C$15*tblHistory[[#This Row],[AIQ S]])/(Dashboard!$C$13+Dashboard!$C$14+Dashboard!$C$15)*100</f>
        <v/>
      </c>
      <c r="U669" s="46">
        <f>(Dashboard!$C$16*tblHistory[[#This Row],[DTCR S]]+Dashboard!$C$17*tblHistory[[#This Row],[BBB S]]+Dashboard!$C$18*tblHistory[[#This Row],[CCC S]])/(Dashboard!$C$16+Dashboard!$C$17+Dashboard!$C$18)*100</f>
        <v/>
      </c>
      <c r="V669" s="46">
        <f>(Dashboard!$C$19*tblHistory[[#This Row],[BIZD S]]+Dashboard!$C$20*tblHistory[[#This Row],[BKLN S]]+Dashboard!$C$21*tblHistory[[#This Row],[HY S]])/(Dashboard!$C$19+Dashboard!$C$20+Dashboard!$C$21)*100</f>
        <v/>
      </c>
      <c r="W66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69" s="46">
        <f>IFERROR(--(tblHistory[[#This Row],[Score]]&gt;=50),0)</f>
        <v/>
      </c>
      <c r="Y669" s="46">
        <f>IFERROR(--AND(tblHistory[[#This Row],[Score]]&gt;=60,OR(AND(tblHistory[[#This Row],[BIZD S]]&gt;=0.8,tblHistory[[#This Row],[BKLN S]]&gt;=0.5),tblHistory[[#This Row],[CCC S]]&gt;=0.8)),0)</f>
        <v/>
      </c>
      <c r="Z669" s="46">
        <f>IFERROR(--AND(tblHistory[[#This Row],[Score]]&gt;=70,tblHistory[[#This Row],[SOX S]]&gt;=0.83,tblHistory[[#This Row],[AIQ S]]&gt;=0.8),0)</f>
        <v/>
      </c>
      <c r="AA66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6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6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6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6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0">
      <c r="A670" s="42" t="n">
        <v>45352</v>
      </c>
      <c r="B670" s="43" t="n">
        <v>18302.9102</v>
      </c>
      <c r="C670" s="43" t="n">
        <v>4929.5801</v>
      </c>
      <c r="D670" s="43" t="n">
        <v>33.7918</v>
      </c>
      <c r="E670" s="43" t="n">
        <v>15.1491</v>
      </c>
      <c r="F670" s="44" t="n">
        <v>125</v>
      </c>
      <c r="G670" s="44" t="n">
        <v>879</v>
      </c>
      <c r="H670" s="43" t="n">
        <v>11.9226</v>
      </c>
      <c r="I670" s="43" t="n">
        <v>17.4164</v>
      </c>
      <c r="J670" s="44" t="n">
        <v>332</v>
      </c>
      <c r="K67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0" s="46">
        <f>(Dashboard!$C$13*tblHistory[[#This Row],[NDX S]]+Dashboard!$C$14*tblHistory[[#This Row],[SOX S]]+Dashboard!$C$15*tblHistory[[#This Row],[AIQ S]])/(Dashboard!$C$13+Dashboard!$C$14+Dashboard!$C$15)*100</f>
        <v/>
      </c>
      <c r="U670" s="46">
        <f>(Dashboard!$C$16*tblHistory[[#This Row],[DTCR S]]+Dashboard!$C$17*tblHistory[[#This Row],[BBB S]]+Dashboard!$C$18*tblHistory[[#This Row],[CCC S]])/(Dashboard!$C$16+Dashboard!$C$17+Dashboard!$C$18)*100</f>
        <v/>
      </c>
      <c r="V670" s="46">
        <f>(Dashboard!$C$19*tblHistory[[#This Row],[BIZD S]]+Dashboard!$C$20*tblHistory[[#This Row],[BKLN S]]+Dashboard!$C$21*tblHistory[[#This Row],[HY S]])/(Dashboard!$C$19+Dashboard!$C$20+Dashboard!$C$21)*100</f>
        <v/>
      </c>
      <c r="W67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0" s="46">
        <f>IFERROR(--(tblHistory[[#This Row],[Score]]&gt;=50),0)</f>
        <v/>
      </c>
      <c r="Y670" s="46">
        <f>IFERROR(--AND(tblHistory[[#This Row],[Score]]&gt;=60,OR(AND(tblHistory[[#This Row],[BIZD S]]&gt;=0.8,tblHistory[[#This Row],[BKLN S]]&gt;=0.5),tblHistory[[#This Row],[CCC S]]&gt;=0.8)),0)</f>
        <v/>
      </c>
      <c r="Z670" s="46">
        <f>IFERROR(--AND(tblHistory[[#This Row],[Score]]&gt;=70,tblHistory[[#This Row],[SOX S]]&gt;=0.83,tblHistory[[#This Row],[AIQ S]]&gt;=0.8),0)</f>
        <v/>
      </c>
      <c r="AA67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1">
      <c r="A671" s="42" t="n">
        <v>45351</v>
      </c>
      <c r="B671" s="43" t="n">
        <v>18043.8496</v>
      </c>
      <c r="C671" s="43" t="n">
        <v>4726.9199</v>
      </c>
      <c r="D671" s="43" t="n">
        <v>33.1839</v>
      </c>
      <c r="E671" s="43" t="n">
        <v>14.8395</v>
      </c>
      <c r="F671" s="44" t="n">
        <v>124</v>
      </c>
      <c r="G671" s="44" t="n">
        <v>880</v>
      </c>
      <c r="H671" s="43" t="n">
        <v>11.9446</v>
      </c>
      <c r="I671" s="43" t="n">
        <v>17.4</v>
      </c>
      <c r="J671" s="44" t="n">
        <v>329</v>
      </c>
      <c r="K67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1" s="46">
        <f>(Dashboard!$C$13*tblHistory[[#This Row],[NDX S]]+Dashboard!$C$14*tblHistory[[#This Row],[SOX S]]+Dashboard!$C$15*tblHistory[[#This Row],[AIQ S]])/(Dashboard!$C$13+Dashboard!$C$14+Dashboard!$C$15)*100</f>
        <v/>
      </c>
      <c r="U671" s="46">
        <f>(Dashboard!$C$16*tblHistory[[#This Row],[DTCR S]]+Dashboard!$C$17*tblHistory[[#This Row],[BBB S]]+Dashboard!$C$18*tblHistory[[#This Row],[CCC S]])/(Dashboard!$C$16+Dashboard!$C$17+Dashboard!$C$18)*100</f>
        <v/>
      </c>
      <c r="V671" s="46">
        <f>(Dashboard!$C$19*tblHistory[[#This Row],[BIZD S]]+Dashboard!$C$20*tblHistory[[#This Row],[BKLN S]]+Dashboard!$C$21*tblHistory[[#This Row],[HY S]])/(Dashboard!$C$19+Dashboard!$C$20+Dashboard!$C$21)*100</f>
        <v/>
      </c>
      <c r="W67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1" s="46">
        <f>IFERROR(--(tblHistory[[#This Row],[Score]]&gt;=50),0)</f>
        <v/>
      </c>
      <c r="Y671" s="46">
        <f>IFERROR(--AND(tblHistory[[#This Row],[Score]]&gt;=60,OR(AND(tblHistory[[#This Row],[BIZD S]]&gt;=0.8,tblHistory[[#This Row],[BKLN S]]&gt;=0.5),tblHistory[[#This Row],[CCC S]]&gt;=0.8)),0)</f>
        <v/>
      </c>
      <c r="Z671" s="46">
        <f>IFERROR(--AND(tblHistory[[#This Row],[Score]]&gt;=70,tblHistory[[#This Row],[SOX S]]&gt;=0.83,tblHistory[[#This Row],[AIQ S]]&gt;=0.8),0)</f>
        <v/>
      </c>
      <c r="AA67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2">
      <c r="A672" s="42" t="n">
        <v>45350</v>
      </c>
      <c r="B672" s="43" t="n">
        <v>17874.5</v>
      </c>
      <c r="C672" s="43" t="n">
        <v>4602.6001</v>
      </c>
      <c r="D672" s="43" t="n">
        <v>32.875</v>
      </c>
      <c r="E672" s="43" t="n">
        <v>14.6364</v>
      </c>
      <c r="F672" s="44" t="n">
        <v>122</v>
      </c>
      <c r="G672" s="44" t="n">
        <v>886</v>
      </c>
      <c r="H672" s="43" t="n">
        <v>11.886</v>
      </c>
      <c r="I672" s="43" t="n">
        <v>17.3917</v>
      </c>
      <c r="J672" s="44" t="n">
        <v>331</v>
      </c>
      <c r="K67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2" s="46">
        <f>(Dashboard!$C$13*tblHistory[[#This Row],[NDX S]]+Dashboard!$C$14*tblHistory[[#This Row],[SOX S]]+Dashboard!$C$15*tblHistory[[#This Row],[AIQ S]])/(Dashboard!$C$13+Dashboard!$C$14+Dashboard!$C$15)*100</f>
        <v/>
      </c>
      <c r="U672" s="46">
        <f>(Dashboard!$C$16*tblHistory[[#This Row],[DTCR S]]+Dashboard!$C$17*tblHistory[[#This Row],[BBB S]]+Dashboard!$C$18*tblHistory[[#This Row],[CCC S]])/(Dashboard!$C$16+Dashboard!$C$17+Dashboard!$C$18)*100</f>
        <v/>
      </c>
      <c r="V672" s="46">
        <f>(Dashboard!$C$19*tblHistory[[#This Row],[BIZD S]]+Dashboard!$C$20*tblHistory[[#This Row],[BKLN S]]+Dashboard!$C$21*tblHistory[[#This Row],[HY S]])/(Dashboard!$C$19+Dashboard!$C$20+Dashboard!$C$21)*100</f>
        <v/>
      </c>
      <c r="W67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2" s="46">
        <f>IFERROR(--(tblHistory[[#This Row],[Score]]&gt;=50),0)</f>
        <v/>
      </c>
      <c r="Y672" s="46">
        <f>IFERROR(--AND(tblHistory[[#This Row],[Score]]&gt;=60,OR(AND(tblHistory[[#This Row],[BIZD S]]&gt;=0.8,tblHistory[[#This Row],[BKLN S]]&gt;=0.5),tblHistory[[#This Row],[CCC S]]&gt;=0.8)),0)</f>
        <v/>
      </c>
      <c r="Z672" s="46">
        <f>IFERROR(--AND(tblHistory[[#This Row],[Score]]&gt;=70,tblHistory[[#This Row],[SOX S]]&gt;=0.83,tblHistory[[#This Row],[AIQ S]]&gt;=0.8),0)</f>
        <v/>
      </c>
      <c r="AA67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3">
      <c r="A673" s="42" t="n">
        <v>45349</v>
      </c>
      <c r="B673" s="43" t="n">
        <v>17971.0508</v>
      </c>
      <c r="C673" s="43" t="n">
        <v>4654.8901</v>
      </c>
      <c r="D673" s="43" t="n">
        <v>33.1241</v>
      </c>
      <c r="E673" s="43" t="n">
        <v>14.5493</v>
      </c>
      <c r="F673" s="44" t="n">
        <v>120</v>
      </c>
      <c r="G673" s="44" t="n">
        <v>884</v>
      </c>
      <c r="H673" s="43" t="n">
        <v>11.996</v>
      </c>
      <c r="I673" s="43" t="n">
        <v>17.4</v>
      </c>
      <c r="J673" s="44" t="n">
        <v>326</v>
      </c>
      <c r="K67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3" s="46">
        <f>(Dashboard!$C$13*tblHistory[[#This Row],[NDX S]]+Dashboard!$C$14*tblHistory[[#This Row],[SOX S]]+Dashboard!$C$15*tblHistory[[#This Row],[AIQ S]])/(Dashboard!$C$13+Dashboard!$C$14+Dashboard!$C$15)*100</f>
        <v/>
      </c>
      <c r="U673" s="46">
        <f>(Dashboard!$C$16*tblHistory[[#This Row],[DTCR S]]+Dashboard!$C$17*tblHistory[[#This Row],[BBB S]]+Dashboard!$C$18*tblHistory[[#This Row],[CCC S]])/(Dashboard!$C$16+Dashboard!$C$17+Dashboard!$C$18)*100</f>
        <v/>
      </c>
      <c r="V673" s="46">
        <f>(Dashboard!$C$19*tblHistory[[#This Row],[BIZD S]]+Dashboard!$C$20*tblHistory[[#This Row],[BKLN S]]+Dashboard!$C$21*tblHistory[[#This Row],[HY S]])/(Dashboard!$C$19+Dashboard!$C$20+Dashboard!$C$21)*100</f>
        <v/>
      </c>
      <c r="W67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3" s="46">
        <f>IFERROR(--(tblHistory[[#This Row],[Score]]&gt;=50),0)</f>
        <v/>
      </c>
      <c r="Y673" s="46">
        <f>IFERROR(--AND(tblHistory[[#This Row],[Score]]&gt;=60,OR(AND(tblHistory[[#This Row],[BIZD S]]&gt;=0.8,tblHistory[[#This Row],[BKLN S]]&gt;=0.5),tblHistory[[#This Row],[CCC S]]&gt;=0.8)),0)</f>
        <v/>
      </c>
      <c r="Z673" s="46">
        <f>IFERROR(--AND(tblHistory[[#This Row],[Score]]&gt;=70,tblHistory[[#This Row],[SOX S]]&gt;=0.83,tblHistory[[#This Row],[AIQ S]]&gt;=0.8),0)</f>
        <v/>
      </c>
      <c r="AA67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4">
      <c r="A674" s="42" t="n">
        <v>45348</v>
      </c>
      <c r="B674" s="43" t="n">
        <v>17933.3301</v>
      </c>
      <c r="C674" s="43" t="n">
        <v>4663.4702</v>
      </c>
      <c r="D674" s="43" t="n">
        <v>33.0643</v>
      </c>
      <c r="E674" s="43" t="n">
        <v>14.5977</v>
      </c>
      <c r="F674" s="44" t="n">
        <v>120</v>
      </c>
      <c r="G674" s="44" t="n">
        <v>886</v>
      </c>
      <c r="H674" s="43" t="n">
        <v>12.0107</v>
      </c>
      <c r="I674" s="43" t="n">
        <v>17.3917</v>
      </c>
      <c r="J674" s="44" t="n">
        <v>323</v>
      </c>
      <c r="K67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4" s="46">
        <f>(Dashboard!$C$13*tblHistory[[#This Row],[NDX S]]+Dashboard!$C$14*tblHistory[[#This Row],[SOX S]]+Dashboard!$C$15*tblHistory[[#This Row],[AIQ S]])/(Dashboard!$C$13+Dashboard!$C$14+Dashboard!$C$15)*100</f>
        <v/>
      </c>
      <c r="U674" s="46">
        <f>(Dashboard!$C$16*tblHistory[[#This Row],[DTCR S]]+Dashboard!$C$17*tblHistory[[#This Row],[BBB S]]+Dashboard!$C$18*tblHistory[[#This Row],[CCC S]])/(Dashboard!$C$16+Dashboard!$C$17+Dashboard!$C$18)*100</f>
        <v/>
      </c>
      <c r="V674" s="46">
        <f>(Dashboard!$C$19*tblHistory[[#This Row],[BIZD S]]+Dashboard!$C$20*tblHistory[[#This Row],[BKLN S]]+Dashboard!$C$21*tblHistory[[#This Row],[HY S]])/(Dashboard!$C$19+Dashboard!$C$20+Dashboard!$C$21)*100</f>
        <v/>
      </c>
      <c r="W67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4" s="46">
        <f>IFERROR(--(tblHistory[[#This Row],[Score]]&gt;=50),0)</f>
        <v/>
      </c>
      <c r="Y674" s="46">
        <f>IFERROR(--AND(tblHistory[[#This Row],[Score]]&gt;=60,OR(AND(tblHistory[[#This Row],[BIZD S]]&gt;=0.8,tblHistory[[#This Row],[BKLN S]]&gt;=0.5),tblHistory[[#This Row],[CCC S]]&gt;=0.8)),0)</f>
        <v/>
      </c>
      <c r="Z674" s="46">
        <f>IFERROR(--AND(tblHistory[[#This Row],[Score]]&gt;=70,tblHistory[[#This Row],[SOX S]]&gt;=0.83,tblHistory[[#This Row],[AIQ S]]&gt;=0.8),0)</f>
        <v/>
      </c>
      <c r="AA67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5">
      <c r="A675" s="42" t="n">
        <v>45345</v>
      </c>
      <c r="B675" s="43" t="n">
        <v>17937.6094</v>
      </c>
      <c r="C675" s="43" t="n">
        <v>4615.0298</v>
      </c>
      <c r="D675" s="43" t="n">
        <v>32.9547</v>
      </c>
      <c r="E675" s="43" t="n">
        <v>14.7041</v>
      </c>
      <c r="F675" s="44" t="n">
        <v>118</v>
      </c>
      <c r="G675" s="44" t="n">
        <v>897</v>
      </c>
      <c r="H675" s="43" t="n">
        <v>12.0327</v>
      </c>
      <c r="I675" s="43" t="n">
        <v>17.3835</v>
      </c>
      <c r="J675" s="44" t="n">
        <v>323</v>
      </c>
      <c r="K67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5" s="46">
        <f>(Dashboard!$C$13*tblHistory[[#This Row],[NDX S]]+Dashboard!$C$14*tblHistory[[#This Row],[SOX S]]+Dashboard!$C$15*tblHistory[[#This Row],[AIQ S]])/(Dashboard!$C$13+Dashboard!$C$14+Dashboard!$C$15)*100</f>
        <v/>
      </c>
      <c r="U675" s="46">
        <f>(Dashboard!$C$16*tblHistory[[#This Row],[DTCR S]]+Dashboard!$C$17*tblHistory[[#This Row],[BBB S]]+Dashboard!$C$18*tblHistory[[#This Row],[CCC S]])/(Dashboard!$C$16+Dashboard!$C$17+Dashboard!$C$18)*100</f>
        <v/>
      </c>
      <c r="V675" s="46">
        <f>(Dashboard!$C$19*tblHistory[[#This Row],[BIZD S]]+Dashboard!$C$20*tblHistory[[#This Row],[BKLN S]]+Dashboard!$C$21*tblHistory[[#This Row],[HY S]])/(Dashboard!$C$19+Dashboard!$C$20+Dashboard!$C$21)*100</f>
        <v/>
      </c>
      <c r="W67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5" s="46">
        <f>IFERROR(--(tblHistory[[#This Row],[Score]]&gt;=50),0)</f>
        <v/>
      </c>
      <c r="Y675" s="46">
        <f>IFERROR(--AND(tblHistory[[#This Row],[Score]]&gt;=60,OR(AND(tblHistory[[#This Row],[BIZD S]]&gt;=0.8,tblHistory[[#This Row],[BKLN S]]&gt;=0.5),tblHistory[[#This Row],[CCC S]]&gt;=0.8)),0)</f>
        <v/>
      </c>
      <c r="Z675" s="46">
        <f>IFERROR(--AND(tblHistory[[#This Row],[Score]]&gt;=70,tblHistory[[#This Row],[SOX S]]&gt;=0.83,tblHistory[[#This Row],[AIQ S]]&gt;=0.8),0)</f>
        <v/>
      </c>
      <c r="AA67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6">
      <c r="A676" s="42" t="n">
        <v>45344</v>
      </c>
      <c r="B676" s="43" t="n">
        <v>18004.6992</v>
      </c>
      <c r="C676" s="43" t="n">
        <v>4667.3701</v>
      </c>
      <c r="D676" s="43" t="n">
        <v>32.9547</v>
      </c>
      <c r="E676" s="43" t="n">
        <v>14.7718</v>
      </c>
      <c r="F676" s="44" t="n">
        <v>116</v>
      </c>
      <c r="G676" s="44" t="n">
        <v>906</v>
      </c>
      <c r="H676" s="43" t="n">
        <v>12.018</v>
      </c>
      <c r="I676" s="43" t="n">
        <v>17.367</v>
      </c>
      <c r="J676" s="44" t="n">
        <v>322</v>
      </c>
      <c r="K67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6" s="46">
        <f>(Dashboard!$C$13*tblHistory[[#This Row],[NDX S]]+Dashboard!$C$14*tblHistory[[#This Row],[SOX S]]+Dashboard!$C$15*tblHistory[[#This Row],[AIQ S]])/(Dashboard!$C$13+Dashboard!$C$14+Dashboard!$C$15)*100</f>
        <v/>
      </c>
      <c r="U676" s="46">
        <f>(Dashboard!$C$16*tblHistory[[#This Row],[DTCR S]]+Dashboard!$C$17*tblHistory[[#This Row],[BBB S]]+Dashboard!$C$18*tblHistory[[#This Row],[CCC S]])/(Dashboard!$C$16+Dashboard!$C$17+Dashboard!$C$18)*100</f>
        <v/>
      </c>
      <c r="V676" s="46">
        <f>(Dashboard!$C$19*tblHistory[[#This Row],[BIZD S]]+Dashboard!$C$20*tblHistory[[#This Row],[BKLN S]]+Dashboard!$C$21*tblHistory[[#This Row],[HY S]])/(Dashboard!$C$19+Dashboard!$C$20+Dashboard!$C$21)*100</f>
        <v/>
      </c>
      <c r="W67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6" s="46">
        <f>IFERROR(--(tblHistory[[#This Row],[Score]]&gt;=50),0)</f>
        <v/>
      </c>
      <c r="Y676" s="46">
        <f>IFERROR(--AND(tblHistory[[#This Row],[Score]]&gt;=60,OR(AND(tblHistory[[#This Row],[BIZD S]]&gt;=0.8,tblHistory[[#This Row],[BKLN S]]&gt;=0.5),tblHistory[[#This Row],[CCC S]]&gt;=0.8)),0)</f>
        <v/>
      </c>
      <c r="Z676" s="46">
        <f>IFERROR(--AND(tblHistory[[#This Row],[Score]]&gt;=70,tblHistory[[#This Row],[SOX S]]&gt;=0.83,tblHistory[[#This Row],[AIQ S]]&gt;=0.8),0)</f>
        <v/>
      </c>
      <c r="AA67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7">
      <c r="A677" s="42" t="n">
        <v>45343</v>
      </c>
      <c r="B677" s="43" t="n">
        <v>17478.9102</v>
      </c>
      <c r="C677" s="43" t="n">
        <v>4446.3599</v>
      </c>
      <c r="D677" s="43" t="n">
        <v>32.018</v>
      </c>
      <c r="E677" s="43" t="n">
        <v>14.2881</v>
      </c>
      <c r="F677" s="44" t="n">
        <v>118</v>
      </c>
      <c r="G677" s="44" t="n">
        <v>927</v>
      </c>
      <c r="H677" s="43" t="n">
        <v>11.9446</v>
      </c>
      <c r="I677" s="43" t="n">
        <v>17.3341</v>
      </c>
      <c r="J677" s="44" t="n">
        <v>334</v>
      </c>
      <c r="K67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7" s="46">
        <f>(Dashboard!$C$13*tblHistory[[#This Row],[NDX S]]+Dashboard!$C$14*tblHistory[[#This Row],[SOX S]]+Dashboard!$C$15*tblHistory[[#This Row],[AIQ S]])/(Dashboard!$C$13+Dashboard!$C$14+Dashboard!$C$15)*100</f>
        <v/>
      </c>
      <c r="U677" s="46">
        <f>(Dashboard!$C$16*tblHistory[[#This Row],[DTCR S]]+Dashboard!$C$17*tblHistory[[#This Row],[BBB S]]+Dashboard!$C$18*tblHistory[[#This Row],[CCC S]])/(Dashboard!$C$16+Dashboard!$C$17+Dashboard!$C$18)*100</f>
        <v/>
      </c>
      <c r="V677" s="46">
        <f>(Dashboard!$C$19*tblHistory[[#This Row],[BIZD S]]+Dashboard!$C$20*tblHistory[[#This Row],[BKLN S]]+Dashboard!$C$21*tblHistory[[#This Row],[HY S]])/(Dashboard!$C$19+Dashboard!$C$20+Dashboard!$C$21)*100</f>
        <v/>
      </c>
      <c r="W67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7" s="46">
        <f>IFERROR(--(tblHistory[[#This Row],[Score]]&gt;=50),0)</f>
        <v/>
      </c>
      <c r="Y677" s="46">
        <f>IFERROR(--AND(tblHistory[[#This Row],[Score]]&gt;=60,OR(AND(tblHistory[[#This Row],[BIZD S]]&gt;=0.8,tblHistory[[#This Row],[BKLN S]]&gt;=0.5),tblHistory[[#This Row],[CCC S]]&gt;=0.8)),0)</f>
        <v/>
      </c>
      <c r="Z677" s="46">
        <f>IFERROR(--AND(tblHistory[[#This Row],[Score]]&gt;=70,tblHistory[[#This Row],[SOX S]]&gt;=0.83,tblHistory[[#This Row],[AIQ S]]&gt;=0.8),0)</f>
        <v/>
      </c>
      <c r="AA67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8">
      <c r="A678" s="42" t="n">
        <v>45342</v>
      </c>
      <c r="B678" s="43" t="n">
        <v>17546.0996</v>
      </c>
      <c r="C678" s="43" t="n">
        <v>4456.8701</v>
      </c>
      <c r="D678" s="43" t="n">
        <v>32.1674</v>
      </c>
      <c r="E678" s="43" t="n">
        <v>14.3655</v>
      </c>
      <c r="F678" s="44" t="n">
        <v>119</v>
      </c>
      <c r="G678" s="44" t="n">
        <v>928</v>
      </c>
      <c r="H678" s="43" t="n">
        <v>11.952</v>
      </c>
      <c r="I678" s="43" t="n">
        <v>17.3176</v>
      </c>
      <c r="J678" s="44" t="n">
        <v>337</v>
      </c>
      <c r="K67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8" s="46">
        <f>(Dashboard!$C$13*tblHistory[[#This Row],[NDX S]]+Dashboard!$C$14*tblHistory[[#This Row],[SOX S]]+Dashboard!$C$15*tblHistory[[#This Row],[AIQ S]])/(Dashboard!$C$13+Dashboard!$C$14+Dashboard!$C$15)*100</f>
        <v/>
      </c>
      <c r="U678" s="46">
        <f>(Dashboard!$C$16*tblHistory[[#This Row],[DTCR S]]+Dashboard!$C$17*tblHistory[[#This Row],[BBB S]]+Dashboard!$C$18*tblHistory[[#This Row],[CCC S]])/(Dashboard!$C$16+Dashboard!$C$17+Dashboard!$C$18)*100</f>
        <v/>
      </c>
      <c r="V678" s="46">
        <f>(Dashboard!$C$19*tblHistory[[#This Row],[BIZD S]]+Dashboard!$C$20*tblHistory[[#This Row],[BKLN S]]+Dashboard!$C$21*tblHistory[[#This Row],[HY S]])/(Dashboard!$C$19+Dashboard!$C$20+Dashboard!$C$21)*100</f>
        <v/>
      </c>
      <c r="W67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8" s="46">
        <f>IFERROR(--(tblHistory[[#This Row],[Score]]&gt;=50),0)</f>
        <v/>
      </c>
      <c r="Y678" s="46">
        <f>IFERROR(--AND(tblHistory[[#This Row],[Score]]&gt;=60,OR(AND(tblHistory[[#This Row],[BIZD S]]&gt;=0.8,tblHistory[[#This Row],[BKLN S]]&gt;=0.5),tblHistory[[#This Row],[CCC S]]&gt;=0.8)),0)</f>
        <v/>
      </c>
      <c r="Z678" s="46">
        <f>IFERROR(--AND(tblHistory[[#This Row],[Score]]&gt;=70,tblHistory[[#This Row],[SOX S]]&gt;=0.83,tblHistory[[#This Row],[AIQ S]]&gt;=0.8),0)</f>
        <v/>
      </c>
      <c r="AA67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79">
      <c r="A679" s="42" t="n">
        <v>45338</v>
      </c>
      <c r="B679" s="43" t="n">
        <v>17685.9805</v>
      </c>
      <c r="C679" s="43" t="n">
        <v>4527.6802</v>
      </c>
      <c r="D679" s="43" t="n">
        <v>32.4963</v>
      </c>
      <c r="E679" s="43" t="n">
        <v>14.3849</v>
      </c>
      <c r="F679" s="44" t="n">
        <v>119</v>
      </c>
      <c r="G679" s="44" t="n">
        <v>925</v>
      </c>
      <c r="H679" s="43" t="n">
        <v>11.9887</v>
      </c>
      <c r="I679" s="43" t="n">
        <v>17.3027</v>
      </c>
      <c r="J679" s="44" t="n">
        <v>334</v>
      </c>
      <c r="K67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7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7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7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7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7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7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7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7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79" s="46">
        <f>(Dashboard!$C$13*tblHistory[[#This Row],[NDX S]]+Dashboard!$C$14*tblHistory[[#This Row],[SOX S]]+Dashboard!$C$15*tblHistory[[#This Row],[AIQ S]])/(Dashboard!$C$13+Dashboard!$C$14+Dashboard!$C$15)*100</f>
        <v/>
      </c>
      <c r="U679" s="46">
        <f>(Dashboard!$C$16*tblHistory[[#This Row],[DTCR S]]+Dashboard!$C$17*tblHistory[[#This Row],[BBB S]]+Dashboard!$C$18*tblHistory[[#This Row],[CCC S]])/(Dashboard!$C$16+Dashboard!$C$17+Dashboard!$C$18)*100</f>
        <v/>
      </c>
      <c r="V679" s="46">
        <f>(Dashboard!$C$19*tblHistory[[#This Row],[BIZD S]]+Dashboard!$C$20*tblHistory[[#This Row],[BKLN S]]+Dashboard!$C$21*tblHistory[[#This Row],[HY S]])/(Dashboard!$C$19+Dashboard!$C$20+Dashboard!$C$21)*100</f>
        <v/>
      </c>
      <c r="W67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79" s="46">
        <f>IFERROR(--(tblHistory[[#This Row],[Score]]&gt;=50),0)</f>
        <v/>
      </c>
      <c r="Y679" s="46">
        <f>IFERROR(--AND(tblHistory[[#This Row],[Score]]&gt;=60,OR(AND(tblHistory[[#This Row],[BIZD S]]&gt;=0.8,tblHistory[[#This Row],[BKLN S]]&gt;=0.5),tblHistory[[#This Row],[CCC S]]&gt;=0.8)),0)</f>
        <v/>
      </c>
      <c r="Z679" s="46">
        <f>IFERROR(--AND(tblHistory[[#This Row],[Score]]&gt;=70,tblHistory[[#This Row],[SOX S]]&gt;=0.83,tblHistory[[#This Row],[AIQ S]]&gt;=0.8),0)</f>
        <v/>
      </c>
      <c r="AA67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7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7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7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7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0">
      <c r="A680" s="42" t="n">
        <v>45337</v>
      </c>
      <c r="B680" s="43" t="n">
        <v>17845.7207</v>
      </c>
      <c r="C680" s="43" t="n">
        <v>4558.1001</v>
      </c>
      <c r="D680" s="43" t="n">
        <v>32.9248</v>
      </c>
      <c r="E680" s="43" t="n">
        <v>14.7138</v>
      </c>
      <c r="F680" s="44" t="n">
        <v>120</v>
      </c>
      <c r="G680" s="44" t="n">
        <v>928</v>
      </c>
      <c r="H680" s="43" t="n">
        <v>11.9446</v>
      </c>
      <c r="I680" s="43" t="n">
        <v>17.2864</v>
      </c>
      <c r="J680" s="44" t="n">
        <v>335</v>
      </c>
      <c r="K68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0" s="46">
        <f>(Dashboard!$C$13*tblHistory[[#This Row],[NDX S]]+Dashboard!$C$14*tblHistory[[#This Row],[SOX S]]+Dashboard!$C$15*tblHistory[[#This Row],[AIQ S]])/(Dashboard!$C$13+Dashboard!$C$14+Dashboard!$C$15)*100</f>
        <v/>
      </c>
      <c r="U680" s="46">
        <f>(Dashboard!$C$16*tblHistory[[#This Row],[DTCR S]]+Dashboard!$C$17*tblHistory[[#This Row],[BBB S]]+Dashboard!$C$18*tblHistory[[#This Row],[CCC S]])/(Dashboard!$C$16+Dashboard!$C$17+Dashboard!$C$18)*100</f>
        <v/>
      </c>
      <c r="V680" s="46">
        <f>(Dashboard!$C$19*tblHistory[[#This Row],[BIZD S]]+Dashboard!$C$20*tblHistory[[#This Row],[BKLN S]]+Dashboard!$C$21*tblHistory[[#This Row],[HY S]])/(Dashboard!$C$19+Dashboard!$C$20+Dashboard!$C$21)*100</f>
        <v/>
      </c>
      <c r="W68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0" s="46">
        <f>IFERROR(--(tblHistory[[#This Row],[Score]]&gt;=50),0)</f>
        <v/>
      </c>
      <c r="Y680" s="46">
        <f>IFERROR(--AND(tblHistory[[#This Row],[Score]]&gt;=60,OR(AND(tblHistory[[#This Row],[BIZD S]]&gt;=0.8,tblHistory[[#This Row],[BKLN S]]&gt;=0.5),tblHistory[[#This Row],[CCC S]]&gt;=0.8)),0)</f>
        <v/>
      </c>
      <c r="Z680" s="46">
        <f>IFERROR(--AND(tblHistory[[#This Row],[Score]]&gt;=70,tblHistory[[#This Row],[SOX S]]&gt;=0.83,tblHistory[[#This Row],[AIQ S]]&gt;=0.8),0)</f>
        <v/>
      </c>
      <c r="AA68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1">
      <c r="A681" s="42" t="n">
        <v>45336</v>
      </c>
      <c r="B681" s="43" t="n">
        <v>17807.6309</v>
      </c>
      <c r="C681" s="43" t="n">
        <v>4565.4102</v>
      </c>
      <c r="D681" s="43" t="n">
        <v>32.7454</v>
      </c>
      <c r="E681" s="43" t="n">
        <v>14.3462</v>
      </c>
      <c r="F681" s="44" t="n">
        <v>122</v>
      </c>
      <c r="G681" s="44" t="n">
        <v>930</v>
      </c>
      <c r="H681" s="43" t="n">
        <v>11.8052</v>
      </c>
      <c r="I681" s="43" t="n">
        <v>17.27</v>
      </c>
      <c r="J681" s="44" t="n">
        <v>338</v>
      </c>
      <c r="K68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1" s="46">
        <f>(Dashboard!$C$13*tblHistory[[#This Row],[NDX S]]+Dashboard!$C$14*tblHistory[[#This Row],[SOX S]]+Dashboard!$C$15*tblHistory[[#This Row],[AIQ S]])/(Dashboard!$C$13+Dashboard!$C$14+Dashboard!$C$15)*100</f>
        <v/>
      </c>
      <c r="U681" s="46">
        <f>(Dashboard!$C$16*tblHistory[[#This Row],[DTCR S]]+Dashboard!$C$17*tblHistory[[#This Row],[BBB S]]+Dashboard!$C$18*tblHistory[[#This Row],[CCC S]])/(Dashboard!$C$16+Dashboard!$C$17+Dashboard!$C$18)*100</f>
        <v/>
      </c>
      <c r="V681" s="46">
        <f>(Dashboard!$C$19*tblHistory[[#This Row],[BIZD S]]+Dashboard!$C$20*tblHistory[[#This Row],[BKLN S]]+Dashboard!$C$21*tblHistory[[#This Row],[HY S]])/(Dashboard!$C$19+Dashboard!$C$20+Dashboard!$C$21)*100</f>
        <v/>
      </c>
      <c r="W68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1" s="46">
        <f>IFERROR(--(tblHistory[[#This Row],[Score]]&gt;=50),0)</f>
        <v/>
      </c>
      <c r="Y681" s="46">
        <f>IFERROR(--AND(tblHistory[[#This Row],[Score]]&gt;=60,OR(AND(tblHistory[[#This Row],[BIZD S]]&gt;=0.8,tblHistory[[#This Row],[BKLN S]]&gt;=0.5),tblHistory[[#This Row],[CCC S]]&gt;=0.8)),0)</f>
        <v/>
      </c>
      <c r="Z681" s="46">
        <f>IFERROR(--AND(tblHistory[[#This Row],[Score]]&gt;=70,tblHistory[[#This Row],[SOX S]]&gt;=0.83,tblHistory[[#This Row],[AIQ S]]&gt;=0.8),0)</f>
        <v/>
      </c>
      <c r="AA68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2">
      <c r="A682" s="42" t="n">
        <v>45335</v>
      </c>
      <c r="B682" s="43" t="n">
        <v>17600.4199</v>
      </c>
      <c r="C682" s="43" t="n">
        <v>4468.1802</v>
      </c>
      <c r="D682" s="43" t="n">
        <v>32.013</v>
      </c>
      <c r="E682" s="43" t="n">
        <v>14.114</v>
      </c>
      <c r="F682" s="44" t="n">
        <v>122</v>
      </c>
      <c r="G682" s="44" t="n">
        <v>925</v>
      </c>
      <c r="H682" s="43" t="n">
        <v>11.7465</v>
      </c>
      <c r="I682" s="43" t="n">
        <v>17.2455</v>
      </c>
      <c r="J682" s="44" t="n">
        <v>336</v>
      </c>
      <c r="K68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2" s="46">
        <f>(Dashboard!$C$13*tblHistory[[#This Row],[NDX S]]+Dashboard!$C$14*tblHistory[[#This Row],[SOX S]]+Dashboard!$C$15*tblHistory[[#This Row],[AIQ S]])/(Dashboard!$C$13+Dashboard!$C$14+Dashboard!$C$15)*100</f>
        <v/>
      </c>
      <c r="U682" s="46">
        <f>(Dashboard!$C$16*tblHistory[[#This Row],[DTCR S]]+Dashboard!$C$17*tblHistory[[#This Row],[BBB S]]+Dashboard!$C$18*tblHistory[[#This Row],[CCC S]])/(Dashboard!$C$16+Dashboard!$C$17+Dashboard!$C$18)*100</f>
        <v/>
      </c>
      <c r="V682" s="46">
        <f>(Dashboard!$C$19*tblHistory[[#This Row],[BIZD S]]+Dashboard!$C$20*tblHistory[[#This Row],[BKLN S]]+Dashboard!$C$21*tblHistory[[#This Row],[HY S]])/(Dashboard!$C$19+Dashboard!$C$20+Dashboard!$C$21)*100</f>
        <v/>
      </c>
      <c r="W68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2" s="46">
        <f>IFERROR(--(tblHistory[[#This Row],[Score]]&gt;=50),0)</f>
        <v/>
      </c>
      <c r="Y682" s="46">
        <f>IFERROR(--AND(tblHistory[[#This Row],[Score]]&gt;=60,OR(AND(tblHistory[[#This Row],[BIZD S]]&gt;=0.8,tblHistory[[#This Row],[BKLN S]]&gt;=0.5),tblHistory[[#This Row],[CCC S]]&gt;=0.8)),0)</f>
        <v/>
      </c>
      <c r="Z682" s="46">
        <f>IFERROR(--AND(tblHistory[[#This Row],[Score]]&gt;=70,tblHistory[[#This Row],[SOX S]]&gt;=0.83,tblHistory[[#This Row],[AIQ S]]&gt;=0.8),0)</f>
        <v/>
      </c>
      <c r="AA68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3">
      <c r="A683" s="42" t="n">
        <v>45334</v>
      </c>
      <c r="B683" s="43" t="n">
        <v>17882.6602</v>
      </c>
      <c r="C683" s="43" t="n">
        <v>4560.04</v>
      </c>
      <c r="D683" s="43" t="n">
        <v>32.7454</v>
      </c>
      <c r="E683" s="43" t="n">
        <v>14.4622</v>
      </c>
      <c r="F683" s="44" t="n">
        <v>124</v>
      </c>
      <c r="G683" s="44" t="n">
        <v>922</v>
      </c>
      <c r="H683" s="43" t="n">
        <v>11.8493</v>
      </c>
      <c r="I683" s="43" t="n">
        <v>17.2536</v>
      </c>
      <c r="J683" s="44" t="n">
        <v>335</v>
      </c>
      <c r="K68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3" s="46">
        <f>(Dashboard!$C$13*tblHistory[[#This Row],[NDX S]]+Dashboard!$C$14*tblHistory[[#This Row],[SOX S]]+Dashboard!$C$15*tblHistory[[#This Row],[AIQ S]])/(Dashboard!$C$13+Dashboard!$C$14+Dashboard!$C$15)*100</f>
        <v/>
      </c>
      <c r="U683" s="46">
        <f>(Dashboard!$C$16*tblHistory[[#This Row],[DTCR S]]+Dashboard!$C$17*tblHistory[[#This Row],[BBB S]]+Dashboard!$C$18*tblHistory[[#This Row],[CCC S]])/(Dashboard!$C$16+Dashboard!$C$17+Dashboard!$C$18)*100</f>
        <v/>
      </c>
      <c r="V683" s="46">
        <f>(Dashboard!$C$19*tblHistory[[#This Row],[BIZD S]]+Dashboard!$C$20*tblHistory[[#This Row],[BKLN S]]+Dashboard!$C$21*tblHistory[[#This Row],[HY S]])/(Dashboard!$C$19+Dashboard!$C$20+Dashboard!$C$21)*100</f>
        <v/>
      </c>
      <c r="W68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3" s="46">
        <f>IFERROR(--(tblHistory[[#This Row],[Score]]&gt;=50),0)</f>
        <v/>
      </c>
      <c r="Y683" s="46">
        <f>IFERROR(--AND(tblHistory[[#This Row],[Score]]&gt;=60,OR(AND(tblHistory[[#This Row],[BIZD S]]&gt;=0.8,tblHistory[[#This Row],[BKLN S]]&gt;=0.5),tblHistory[[#This Row],[CCC S]]&gt;=0.8)),0)</f>
        <v/>
      </c>
      <c r="Z683" s="46">
        <f>IFERROR(--AND(tblHistory[[#This Row],[Score]]&gt;=70,tblHistory[[#This Row],[SOX S]]&gt;=0.83,tblHistory[[#This Row],[AIQ S]]&gt;=0.8),0)</f>
        <v/>
      </c>
      <c r="AA68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4">
      <c r="A684" s="42" t="n">
        <v>45331</v>
      </c>
      <c r="B684" s="43" t="n">
        <v>17962.4102</v>
      </c>
      <c r="C684" s="43" t="n">
        <v>4567.2998</v>
      </c>
      <c r="D684" s="43" t="n">
        <v>32.855</v>
      </c>
      <c r="E684" s="43" t="n">
        <v>14.3994</v>
      </c>
      <c r="F684" s="44" t="n">
        <v>124</v>
      </c>
      <c r="G684" s="44" t="n">
        <v>920</v>
      </c>
      <c r="H684" s="43" t="n">
        <v>11.7465</v>
      </c>
      <c r="I684" s="43" t="n">
        <v>17.2618</v>
      </c>
      <c r="J684" s="44" t="n">
        <v>333</v>
      </c>
      <c r="K68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4" s="46">
        <f>(Dashboard!$C$13*tblHistory[[#This Row],[NDX S]]+Dashboard!$C$14*tblHistory[[#This Row],[SOX S]]+Dashboard!$C$15*tblHistory[[#This Row],[AIQ S]])/(Dashboard!$C$13+Dashboard!$C$14+Dashboard!$C$15)*100</f>
        <v/>
      </c>
      <c r="U684" s="46">
        <f>(Dashboard!$C$16*tblHistory[[#This Row],[DTCR S]]+Dashboard!$C$17*tblHistory[[#This Row],[BBB S]]+Dashboard!$C$18*tblHistory[[#This Row],[CCC S]])/(Dashboard!$C$16+Dashboard!$C$17+Dashboard!$C$18)*100</f>
        <v/>
      </c>
      <c r="V684" s="46">
        <f>(Dashboard!$C$19*tblHistory[[#This Row],[BIZD S]]+Dashboard!$C$20*tblHistory[[#This Row],[BKLN S]]+Dashboard!$C$21*tblHistory[[#This Row],[HY S]])/(Dashboard!$C$19+Dashboard!$C$20+Dashboard!$C$21)*100</f>
        <v/>
      </c>
      <c r="W68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4" s="46">
        <f>IFERROR(--(tblHistory[[#This Row],[Score]]&gt;=50),0)</f>
        <v/>
      </c>
      <c r="Y684" s="46">
        <f>IFERROR(--AND(tblHistory[[#This Row],[Score]]&gt;=60,OR(AND(tblHistory[[#This Row],[BIZD S]]&gt;=0.8,tblHistory[[#This Row],[BKLN S]]&gt;=0.5),tblHistory[[#This Row],[CCC S]]&gt;=0.8)),0)</f>
        <v/>
      </c>
      <c r="Z684" s="46">
        <f>IFERROR(--AND(tblHistory[[#This Row],[Score]]&gt;=70,tblHistory[[#This Row],[SOX S]]&gt;=0.83,tblHistory[[#This Row],[AIQ S]]&gt;=0.8),0)</f>
        <v/>
      </c>
      <c r="AA68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5">
      <c r="A685" s="42" t="n">
        <v>45330</v>
      </c>
      <c r="B685" s="43" t="n">
        <v>17783.1699</v>
      </c>
      <c r="C685" s="43" t="n">
        <v>4478.0098</v>
      </c>
      <c r="D685" s="43" t="n">
        <v>32.3867</v>
      </c>
      <c r="E685" s="43" t="n">
        <v>14.2881</v>
      </c>
      <c r="F685" s="44" t="n">
        <v>123</v>
      </c>
      <c r="G685" s="44" t="n">
        <v>927</v>
      </c>
      <c r="H685" s="43" t="n">
        <v>11.7465</v>
      </c>
      <c r="I685" s="43" t="n">
        <v>17.2618</v>
      </c>
      <c r="J685" s="44" t="n">
        <v>338</v>
      </c>
      <c r="K68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5" s="46">
        <f>(Dashboard!$C$13*tblHistory[[#This Row],[NDX S]]+Dashboard!$C$14*tblHistory[[#This Row],[SOX S]]+Dashboard!$C$15*tblHistory[[#This Row],[AIQ S]])/(Dashboard!$C$13+Dashboard!$C$14+Dashboard!$C$15)*100</f>
        <v/>
      </c>
      <c r="U685" s="46">
        <f>(Dashboard!$C$16*tblHistory[[#This Row],[DTCR S]]+Dashboard!$C$17*tblHistory[[#This Row],[BBB S]]+Dashboard!$C$18*tblHistory[[#This Row],[CCC S]])/(Dashboard!$C$16+Dashboard!$C$17+Dashboard!$C$18)*100</f>
        <v/>
      </c>
      <c r="V685" s="46">
        <f>(Dashboard!$C$19*tblHistory[[#This Row],[BIZD S]]+Dashboard!$C$20*tblHistory[[#This Row],[BKLN S]]+Dashboard!$C$21*tblHistory[[#This Row],[HY S]])/(Dashboard!$C$19+Dashboard!$C$20+Dashboard!$C$21)*100</f>
        <v/>
      </c>
      <c r="W68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5" s="46">
        <f>IFERROR(--(tblHistory[[#This Row],[Score]]&gt;=50),0)</f>
        <v/>
      </c>
      <c r="Y685" s="46">
        <f>IFERROR(--AND(tblHistory[[#This Row],[Score]]&gt;=60,OR(AND(tblHistory[[#This Row],[BIZD S]]&gt;=0.8,tblHistory[[#This Row],[BKLN S]]&gt;=0.5),tblHistory[[#This Row],[CCC S]]&gt;=0.8)),0)</f>
        <v/>
      </c>
      <c r="Z685" s="46">
        <f>IFERROR(--AND(tblHistory[[#This Row],[Score]]&gt;=70,tblHistory[[#This Row],[SOX S]]&gt;=0.83,tblHistory[[#This Row],[AIQ S]]&gt;=0.8),0)</f>
        <v/>
      </c>
      <c r="AA68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6">
      <c r="A686" s="42" t="n">
        <v>45329</v>
      </c>
      <c r="B686" s="43" t="n">
        <v>17755.0703</v>
      </c>
      <c r="C686" s="43" t="n">
        <v>4408.73</v>
      </c>
      <c r="D686" s="43" t="n">
        <v>32.287</v>
      </c>
      <c r="E686" s="43" t="n">
        <v>14.2011</v>
      </c>
      <c r="F686" s="44" t="n">
        <v>124</v>
      </c>
      <c r="G686" s="44" t="n">
        <v>942</v>
      </c>
      <c r="H686" s="43" t="n">
        <v>11.7612</v>
      </c>
      <c r="I686" s="43" t="n">
        <v>17.2373</v>
      </c>
      <c r="J686" s="44" t="n">
        <v>343</v>
      </c>
      <c r="K68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6" s="46">
        <f>(Dashboard!$C$13*tblHistory[[#This Row],[NDX S]]+Dashboard!$C$14*tblHistory[[#This Row],[SOX S]]+Dashboard!$C$15*tblHistory[[#This Row],[AIQ S]])/(Dashboard!$C$13+Dashboard!$C$14+Dashboard!$C$15)*100</f>
        <v/>
      </c>
      <c r="U686" s="46">
        <f>(Dashboard!$C$16*tblHistory[[#This Row],[DTCR S]]+Dashboard!$C$17*tblHistory[[#This Row],[BBB S]]+Dashboard!$C$18*tblHistory[[#This Row],[CCC S]])/(Dashboard!$C$16+Dashboard!$C$17+Dashboard!$C$18)*100</f>
        <v/>
      </c>
      <c r="V686" s="46">
        <f>(Dashboard!$C$19*tblHistory[[#This Row],[BIZD S]]+Dashboard!$C$20*tblHistory[[#This Row],[BKLN S]]+Dashboard!$C$21*tblHistory[[#This Row],[HY S]])/(Dashboard!$C$19+Dashboard!$C$20+Dashboard!$C$21)*100</f>
        <v/>
      </c>
      <c r="W68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6" s="46">
        <f>IFERROR(--(tblHistory[[#This Row],[Score]]&gt;=50),0)</f>
        <v/>
      </c>
      <c r="Y686" s="46">
        <f>IFERROR(--AND(tblHistory[[#This Row],[Score]]&gt;=60,OR(AND(tblHistory[[#This Row],[BIZD S]]&gt;=0.8,tblHistory[[#This Row],[BKLN S]]&gt;=0.5),tblHistory[[#This Row],[CCC S]]&gt;=0.8)),0)</f>
        <v/>
      </c>
      <c r="Z686" s="46">
        <f>IFERROR(--AND(tblHistory[[#This Row],[Score]]&gt;=70,tblHistory[[#This Row],[SOX S]]&gt;=0.83,tblHistory[[#This Row],[AIQ S]]&gt;=0.8),0)</f>
        <v/>
      </c>
      <c r="AA68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7">
      <c r="A687" s="42" t="n">
        <v>45328</v>
      </c>
      <c r="B687" s="43" t="n">
        <v>17572.7305</v>
      </c>
      <c r="C687" s="43" t="n">
        <v>4338.27</v>
      </c>
      <c r="D687" s="43" t="n">
        <v>32.0877</v>
      </c>
      <c r="E687" s="43" t="n">
        <v>14.1527</v>
      </c>
      <c r="F687" s="44" t="n">
        <v>124</v>
      </c>
      <c r="G687" s="44" t="n">
        <v>955</v>
      </c>
      <c r="H687" s="43" t="n">
        <v>11.7245</v>
      </c>
      <c r="I687" s="43" t="n">
        <v>17.2373</v>
      </c>
      <c r="J687" s="44" t="n">
        <v>352</v>
      </c>
      <c r="K68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7" s="46">
        <f>(Dashboard!$C$13*tblHistory[[#This Row],[NDX S]]+Dashboard!$C$14*tblHistory[[#This Row],[SOX S]]+Dashboard!$C$15*tblHistory[[#This Row],[AIQ S]])/(Dashboard!$C$13+Dashboard!$C$14+Dashboard!$C$15)*100</f>
        <v/>
      </c>
      <c r="U687" s="46">
        <f>(Dashboard!$C$16*tblHistory[[#This Row],[DTCR S]]+Dashboard!$C$17*tblHistory[[#This Row],[BBB S]]+Dashboard!$C$18*tblHistory[[#This Row],[CCC S]])/(Dashboard!$C$16+Dashboard!$C$17+Dashboard!$C$18)*100</f>
        <v/>
      </c>
      <c r="V687" s="46">
        <f>(Dashboard!$C$19*tblHistory[[#This Row],[BIZD S]]+Dashboard!$C$20*tblHistory[[#This Row],[BKLN S]]+Dashboard!$C$21*tblHistory[[#This Row],[HY S]])/(Dashboard!$C$19+Dashboard!$C$20+Dashboard!$C$21)*100</f>
        <v/>
      </c>
      <c r="W68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7" s="46">
        <f>IFERROR(--(tblHistory[[#This Row],[Score]]&gt;=50),0)</f>
        <v/>
      </c>
      <c r="Y687" s="46">
        <f>IFERROR(--AND(tblHistory[[#This Row],[Score]]&gt;=60,OR(AND(tblHistory[[#This Row],[BIZD S]]&gt;=0.8,tblHistory[[#This Row],[BKLN S]]&gt;=0.5),tblHistory[[#This Row],[CCC S]]&gt;=0.8)),0)</f>
        <v/>
      </c>
      <c r="Z687" s="46">
        <f>IFERROR(--AND(tblHistory[[#This Row],[Score]]&gt;=70,tblHistory[[#This Row],[SOX S]]&gt;=0.83,tblHistory[[#This Row],[AIQ S]]&gt;=0.8),0)</f>
        <v/>
      </c>
      <c r="AA68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8">
      <c r="A688" s="42" t="n">
        <v>45327</v>
      </c>
      <c r="B688" s="43" t="n">
        <v>17613.0391</v>
      </c>
      <c r="C688" s="43" t="n">
        <v>4388.1001</v>
      </c>
      <c r="D688" s="43" t="n">
        <v>31.998</v>
      </c>
      <c r="E688" s="43" t="n">
        <v>13.9979</v>
      </c>
      <c r="F688" s="44" t="n">
        <v>124</v>
      </c>
      <c r="G688" s="44" t="n">
        <v>955</v>
      </c>
      <c r="H688" s="43" t="n">
        <v>11.7612</v>
      </c>
      <c r="I688" s="43" t="n">
        <v>17.1963</v>
      </c>
      <c r="J688" s="44" t="n">
        <v>350</v>
      </c>
      <c r="K68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8" s="46">
        <f>(Dashboard!$C$13*tblHistory[[#This Row],[NDX S]]+Dashboard!$C$14*tblHistory[[#This Row],[SOX S]]+Dashboard!$C$15*tblHistory[[#This Row],[AIQ S]])/(Dashboard!$C$13+Dashboard!$C$14+Dashboard!$C$15)*100</f>
        <v/>
      </c>
      <c r="U688" s="46">
        <f>(Dashboard!$C$16*tblHistory[[#This Row],[DTCR S]]+Dashboard!$C$17*tblHistory[[#This Row],[BBB S]]+Dashboard!$C$18*tblHistory[[#This Row],[CCC S]])/(Dashboard!$C$16+Dashboard!$C$17+Dashboard!$C$18)*100</f>
        <v/>
      </c>
      <c r="V688" s="46">
        <f>(Dashboard!$C$19*tblHistory[[#This Row],[BIZD S]]+Dashboard!$C$20*tblHistory[[#This Row],[BKLN S]]+Dashboard!$C$21*tblHistory[[#This Row],[HY S]])/(Dashboard!$C$19+Dashboard!$C$20+Dashboard!$C$21)*100</f>
        <v/>
      </c>
      <c r="W68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8" s="46">
        <f>IFERROR(--(tblHistory[[#This Row],[Score]]&gt;=50),0)</f>
        <v/>
      </c>
      <c r="Y688" s="46">
        <f>IFERROR(--AND(tblHistory[[#This Row],[Score]]&gt;=60,OR(AND(tblHistory[[#This Row],[BIZD S]]&gt;=0.8,tblHistory[[#This Row],[BKLN S]]&gt;=0.5),tblHistory[[#This Row],[CCC S]]&gt;=0.8)),0)</f>
        <v/>
      </c>
      <c r="Z688" s="46">
        <f>IFERROR(--AND(tblHistory[[#This Row],[Score]]&gt;=70,tblHistory[[#This Row],[SOX S]]&gt;=0.83,tblHistory[[#This Row],[AIQ S]]&gt;=0.8),0)</f>
        <v/>
      </c>
      <c r="AA68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89">
      <c r="A689" s="42" t="n">
        <v>45324</v>
      </c>
      <c r="B689" s="43" t="n">
        <v>17642.7305</v>
      </c>
      <c r="C689" s="43" t="n">
        <v>4336.73</v>
      </c>
      <c r="D689" s="43" t="n">
        <v>31.998</v>
      </c>
      <c r="E689" s="43" t="n">
        <v>14.114</v>
      </c>
      <c r="F689" s="44" t="n">
        <v>125</v>
      </c>
      <c r="G689" s="44" t="n">
        <v>946</v>
      </c>
      <c r="H689" s="43" t="n">
        <v>11.8566</v>
      </c>
      <c r="I689" s="43" t="n">
        <v>17.2045</v>
      </c>
      <c r="J689" s="44" t="n">
        <v>347</v>
      </c>
      <c r="K68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8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8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8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8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8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8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8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8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89" s="46">
        <f>(Dashboard!$C$13*tblHistory[[#This Row],[NDX S]]+Dashboard!$C$14*tblHistory[[#This Row],[SOX S]]+Dashboard!$C$15*tblHistory[[#This Row],[AIQ S]])/(Dashboard!$C$13+Dashboard!$C$14+Dashboard!$C$15)*100</f>
        <v/>
      </c>
      <c r="U689" s="46">
        <f>(Dashboard!$C$16*tblHistory[[#This Row],[DTCR S]]+Dashboard!$C$17*tblHistory[[#This Row],[BBB S]]+Dashboard!$C$18*tblHistory[[#This Row],[CCC S]])/(Dashboard!$C$16+Dashboard!$C$17+Dashboard!$C$18)*100</f>
        <v/>
      </c>
      <c r="V689" s="46">
        <f>(Dashboard!$C$19*tblHistory[[#This Row],[BIZD S]]+Dashboard!$C$20*tblHistory[[#This Row],[BKLN S]]+Dashboard!$C$21*tblHistory[[#This Row],[HY S]])/(Dashboard!$C$19+Dashboard!$C$20+Dashboard!$C$21)*100</f>
        <v/>
      </c>
      <c r="W68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89" s="46">
        <f>IFERROR(--(tblHistory[[#This Row],[Score]]&gt;=50),0)</f>
        <v/>
      </c>
      <c r="Y689" s="46">
        <f>IFERROR(--AND(tblHistory[[#This Row],[Score]]&gt;=60,OR(AND(tblHistory[[#This Row],[BIZD S]]&gt;=0.8,tblHistory[[#This Row],[BKLN S]]&gt;=0.5),tblHistory[[#This Row],[CCC S]]&gt;=0.8)),0)</f>
        <v/>
      </c>
      <c r="Z689" s="46">
        <f>IFERROR(--AND(tblHistory[[#This Row],[Score]]&gt;=70,tblHistory[[#This Row],[SOX S]]&gt;=0.83,tblHistory[[#This Row],[AIQ S]]&gt;=0.8),0)</f>
        <v/>
      </c>
      <c r="AA68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8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8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8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8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0">
      <c r="A690" s="42" t="n">
        <v>45323</v>
      </c>
      <c r="B690" s="43" t="n">
        <v>17344.7109</v>
      </c>
      <c r="C690" s="43" t="n">
        <v>4280.48</v>
      </c>
      <c r="D690" s="43" t="n">
        <v>31.5098</v>
      </c>
      <c r="E690" s="43" t="n">
        <v>14.2204</v>
      </c>
      <c r="F690" s="44" t="n">
        <v>128</v>
      </c>
      <c r="G690" s="44" t="n">
        <v>952</v>
      </c>
      <c r="H690" s="43" t="n">
        <v>11.8346</v>
      </c>
      <c r="I690" s="43" t="n">
        <v>17.2127</v>
      </c>
      <c r="J690" s="44" t="n">
        <v>356</v>
      </c>
      <c r="K69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0" s="46">
        <f>(Dashboard!$C$13*tblHistory[[#This Row],[NDX S]]+Dashboard!$C$14*tblHistory[[#This Row],[SOX S]]+Dashboard!$C$15*tblHistory[[#This Row],[AIQ S]])/(Dashboard!$C$13+Dashboard!$C$14+Dashboard!$C$15)*100</f>
        <v/>
      </c>
      <c r="U690" s="46">
        <f>(Dashboard!$C$16*tblHistory[[#This Row],[DTCR S]]+Dashboard!$C$17*tblHistory[[#This Row],[BBB S]]+Dashboard!$C$18*tblHistory[[#This Row],[CCC S]])/(Dashboard!$C$16+Dashboard!$C$17+Dashboard!$C$18)*100</f>
        <v/>
      </c>
      <c r="V690" s="46">
        <f>(Dashboard!$C$19*tblHistory[[#This Row],[BIZD S]]+Dashboard!$C$20*tblHistory[[#This Row],[BKLN S]]+Dashboard!$C$21*tblHistory[[#This Row],[HY S]])/(Dashboard!$C$19+Dashboard!$C$20+Dashboard!$C$21)*100</f>
        <v/>
      </c>
      <c r="W69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0" s="46">
        <f>IFERROR(--(tblHistory[[#This Row],[Score]]&gt;=50),0)</f>
        <v/>
      </c>
      <c r="Y690" s="46">
        <f>IFERROR(--AND(tblHistory[[#This Row],[Score]]&gt;=60,OR(AND(tblHistory[[#This Row],[BIZD S]]&gt;=0.8,tblHistory[[#This Row],[BKLN S]]&gt;=0.5),tblHistory[[#This Row],[CCC S]]&gt;=0.8)),0)</f>
        <v/>
      </c>
      <c r="Z690" s="46">
        <f>IFERROR(--AND(tblHistory[[#This Row],[Score]]&gt;=70,tblHistory[[#This Row],[SOX S]]&gt;=0.83,tblHistory[[#This Row],[AIQ S]]&gt;=0.8),0)</f>
        <v/>
      </c>
      <c r="AA69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1">
      <c r="A691" s="42" t="n">
        <v>45322</v>
      </c>
      <c r="B691" s="43" t="n">
        <v>17137.2402</v>
      </c>
      <c r="C691" s="43" t="n">
        <v>4260.9199</v>
      </c>
      <c r="D691" s="43" t="n">
        <v>31.161</v>
      </c>
      <c r="E691" s="43" t="n">
        <v>14.0231</v>
      </c>
      <c r="F691" s="44" t="n">
        <v>126</v>
      </c>
      <c r="G691" s="44" t="n">
        <v>953</v>
      </c>
      <c r="H691" s="43" t="n">
        <v>11.9446</v>
      </c>
      <c r="I691" s="43" t="n">
        <v>17.1963</v>
      </c>
      <c r="J691" s="44" t="n">
        <v>359</v>
      </c>
      <c r="K69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1" s="46">
        <f>(Dashboard!$C$13*tblHistory[[#This Row],[NDX S]]+Dashboard!$C$14*tblHistory[[#This Row],[SOX S]]+Dashboard!$C$15*tblHistory[[#This Row],[AIQ S]])/(Dashboard!$C$13+Dashboard!$C$14+Dashboard!$C$15)*100</f>
        <v/>
      </c>
      <c r="U691" s="46">
        <f>(Dashboard!$C$16*tblHistory[[#This Row],[DTCR S]]+Dashboard!$C$17*tblHistory[[#This Row],[BBB S]]+Dashboard!$C$18*tblHistory[[#This Row],[CCC S]])/(Dashboard!$C$16+Dashboard!$C$17+Dashboard!$C$18)*100</f>
        <v/>
      </c>
      <c r="V691" s="46">
        <f>(Dashboard!$C$19*tblHistory[[#This Row],[BIZD S]]+Dashboard!$C$20*tblHistory[[#This Row],[BKLN S]]+Dashboard!$C$21*tblHistory[[#This Row],[HY S]])/(Dashboard!$C$19+Dashboard!$C$20+Dashboard!$C$21)*100</f>
        <v/>
      </c>
      <c r="W69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1" s="46">
        <f>IFERROR(--(tblHistory[[#This Row],[Score]]&gt;=50),0)</f>
        <v/>
      </c>
      <c r="Y691" s="46">
        <f>IFERROR(--AND(tblHistory[[#This Row],[Score]]&gt;=60,OR(AND(tblHistory[[#This Row],[BIZD S]]&gt;=0.8,tblHistory[[#This Row],[BKLN S]]&gt;=0.5),tblHistory[[#This Row],[CCC S]]&gt;=0.8)),0)</f>
        <v/>
      </c>
      <c r="Z691" s="46">
        <f>IFERROR(--AND(tblHistory[[#This Row],[Score]]&gt;=70,tblHistory[[#This Row],[SOX S]]&gt;=0.83,tblHistory[[#This Row],[AIQ S]]&gt;=0.8),0)</f>
        <v/>
      </c>
      <c r="AA69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2">
      <c r="A692" s="42" t="n">
        <v>45321</v>
      </c>
      <c r="B692" s="43" t="n">
        <v>17476.7109</v>
      </c>
      <c r="C692" s="43" t="n">
        <v>4319.9902</v>
      </c>
      <c r="D692" s="43" t="n">
        <v>31.8087</v>
      </c>
      <c r="E692" s="43" t="n">
        <v>14.1333</v>
      </c>
      <c r="F692" s="44" t="n">
        <v>123</v>
      </c>
      <c r="G692" s="44" t="n">
        <v>907</v>
      </c>
      <c r="H692" s="43" t="n">
        <v>12.1574</v>
      </c>
      <c r="I692" s="43" t="n">
        <v>17.2291</v>
      </c>
      <c r="J692" s="44" t="n">
        <v>342</v>
      </c>
      <c r="K69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2" s="46">
        <f>(Dashboard!$C$13*tblHistory[[#This Row],[NDX S]]+Dashboard!$C$14*tblHistory[[#This Row],[SOX S]]+Dashboard!$C$15*tblHistory[[#This Row],[AIQ S]])/(Dashboard!$C$13+Dashboard!$C$14+Dashboard!$C$15)*100</f>
        <v/>
      </c>
      <c r="U692" s="46">
        <f>(Dashboard!$C$16*tblHistory[[#This Row],[DTCR S]]+Dashboard!$C$17*tblHistory[[#This Row],[BBB S]]+Dashboard!$C$18*tblHistory[[#This Row],[CCC S]])/(Dashboard!$C$16+Dashboard!$C$17+Dashboard!$C$18)*100</f>
        <v/>
      </c>
      <c r="V692" s="46">
        <f>(Dashboard!$C$19*tblHistory[[#This Row],[BIZD S]]+Dashboard!$C$20*tblHistory[[#This Row],[BKLN S]]+Dashboard!$C$21*tblHistory[[#This Row],[HY S]])/(Dashboard!$C$19+Dashboard!$C$20+Dashboard!$C$21)*100</f>
        <v/>
      </c>
      <c r="W69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2" s="46">
        <f>IFERROR(--(tblHistory[[#This Row],[Score]]&gt;=50),0)</f>
        <v/>
      </c>
      <c r="Y692" s="46">
        <f>IFERROR(--AND(tblHistory[[#This Row],[Score]]&gt;=60,OR(AND(tblHistory[[#This Row],[BIZD S]]&gt;=0.8,tblHistory[[#This Row],[BKLN S]]&gt;=0.5),tblHistory[[#This Row],[CCC S]]&gt;=0.8)),0)</f>
        <v/>
      </c>
      <c r="Z692" s="46">
        <f>IFERROR(--AND(tblHistory[[#This Row],[Score]]&gt;=70,tblHistory[[#This Row],[SOX S]]&gt;=0.83,tblHistory[[#This Row],[AIQ S]]&gt;=0.8),0)</f>
        <v/>
      </c>
      <c r="AA69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3">
      <c r="A693" s="42" t="n">
        <v>45320</v>
      </c>
      <c r="B693" s="43" t="n">
        <v>17596.2695</v>
      </c>
      <c r="C693" s="43" t="n">
        <v>4388.27</v>
      </c>
      <c r="D693" s="43" t="n">
        <v>32.0279</v>
      </c>
      <c r="E693" s="43" t="n">
        <v>14.262</v>
      </c>
      <c r="F693" s="44" t="n">
        <v>122</v>
      </c>
      <c r="G693" s="44" t="n">
        <v>907</v>
      </c>
      <c r="H693" s="43" t="n">
        <v>12.0987</v>
      </c>
      <c r="I693" s="43" t="n">
        <v>17.2373</v>
      </c>
      <c r="J693" s="44" t="n">
        <v>341</v>
      </c>
      <c r="K69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3" s="46">
        <f>(Dashboard!$C$13*tblHistory[[#This Row],[NDX S]]+Dashboard!$C$14*tblHistory[[#This Row],[SOX S]]+Dashboard!$C$15*tblHistory[[#This Row],[AIQ S]])/(Dashboard!$C$13+Dashboard!$C$14+Dashboard!$C$15)*100</f>
        <v/>
      </c>
      <c r="U693" s="46">
        <f>(Dashboard!$C$16*tblHistory[[#This Row],[DTCR S]]+Dashboard!$C$17*tblHistory[[#This Row],[BBB S]]+Dashboard!$C$18*tblHistory[[#This Row],[CCC S]])/(Dashboard!$C$16+Dashboard!$C$17+Dashboard!$C$18)*100</f>
        <v/>
      </c>
      <c r="V693" s="46">
        <f>(Dashboard!$C$19*tblHistory[[#This Row],[BIZD S]]+Dashboard!$C$20*tblHistory[[#This Row],[BKLN S]]+Dashboard!$C$21*tblHistory[[#This Row],[HY S]])/(Dashboard!$C$19+Dashboard!$C$20+Dashboard!$C$21)*100</f>
        <v/>
      </c>
      <c r="W69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3" s="46">
        <f>IFERROR(--(tblHistory[[#This Row],[Score]]&gt;=50),0)</f>
        <v/>
      </c>
      <c r="Y693" s="46">
        <f>IFERROR(--AND(tblHistory[[#This Row],[Score]]&gt;=60,OR(AND(tblHistory[[#This Row],[BIZD S]]&gt;=0.8,tblHistory[[#This Row],[BKLN S]]&gt;=0.5),tblHistory[[#This Row],[CCC S]]&gt;=0.8)),0)</f>
        <v/>
      </c>
      <c r="Z693" s="46">
        <f>IFERROR(--AND(tblHistory[[#This Row],[Score]]&gt;=70,tblHistory[[#This Row],[SOX S]]&gt;=0.83,tblHistory[[#This Row],[AIQ S]]&gt;=0.8),0)</f>
        <v/>
      </c>
      <c r="AA69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4">
      <c r="A694" s="42" t="n">
        <v>45317</v>
      </c>
      <c r="B694" s="43" t="n">
        <v>17421.0098</v>
      </c>
      <c r="C694" s="43" t="n">
        <v>4342.1001</v>
      </c>
      <c r="D694" s="43" t="n">
        <v>31.729</v>
      </c>
      <c r="E694" s="43" t="n">
        <v>14.0946</v>
      </c>
      <c r="F694" s="44" t="n">
        <v>121</v>
      </c>
      <c r="G694" s="44" t="n">
        <v>908</v>
      </c>
      <c r="H694" s="43" t="n">
        <v>12.1574</v>
      </c>
      <c r="I694" s="43" t="n">
        <v>17.2127</v>
      </c>
      <c r="J694" s="44" t="n">
        <v>339</v>
      </c>
      <c r="K69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4" s="46">
        <f>(Dashboard!$C$13*tblHistory[[#This Row],[NDX S]]+Dashboard!$C$14*tblHistory[[#This Row],[SOX S]]+Dashboard!$C$15*tblHistory[[#This Row],[AIQ S]])/(Dashboard!$C$13+Dashboard!$C$14+Dashboard!$C$15)*100</f>
        <v/>
      </c>
      <c r="U694" s="46">
        <f>(Dashboard!$C$16*tblHistory[[#This Row],[DTCR S]]+Dashboard!$C$17*tblHistory[[#This Row],[BBB S]]+Dashboard!$C$18*tblHistory[[#This Row],[CCC S]])/(Dashboard!$C$16+Dashboard!$C$17+Dashboard!$C$18)*100</f>
        <v/>
      </c>
      <c r="V694" s="46">
        <f>(Dashboard!$C$19*tblHistory[[#This Row],[BIZD S]]+Dashboard!$C$20*tblHistory[[#This Row],[BKLN S]]+Dashboard!$C$21*tblHistory[[#This Row],[HY S]])/(Dashboard!$C$19+Dashboard!$C$20+Dashboard!$C$21)*100</f>
        <v/>
      </c>
      <c r="W69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4" s="46">
        <f>IFERROR(--(tblHistory[[#This Row],[Score]]&gt;=50),0)</f>
        <v/>
      </c>
      <c r="Y694" s="46">
        <f>IFERROR(--AND(tblHistory[[#This Row],[Score]]&gt;=60,OR(AND(tblHistory[[#This Row],[BIZD S]]&gt;=0.8,tblHistory[[#This Row],[BKLN S]]&gt;=0.5),tblHistory[[#This Row],[CCC S]]&gt;=0.8)),0)</f>
        <v/>
      </c>
      <c r="Z694" s="46">
        <f>IFERROR(--AND(tblHistory[[#This Row],[Score]]&gt;=70,tblHistory[[#This Row],[SOX S]]&gt;=0.83,tblHistory[[#This Row],[AIQ S]]&gt;=0.8),0)</f>
        <v/>
      </c>
      <c r="AA69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5">
      <c r="A695" s="42" t="n">
        <v>45316</v>
      </c>
      <c r="B695" s="43" t="n">
        <v>17516.9902</v>
      </c>
      <c r="C695" s="43" t="n">
        <v>4472.2598</v>
      </c>
      <c r="D695" s="43" t="n">
        <v>31.9383</v>
      </c>
      <c r="E695" s="43" t="n">
        <v>14.2214</v>
      </c>
      <c r="F695" s="44" t="n">
        <v>122</v>
      </c>
      <c r="G695" s="44" t="n">
        <v>914</v>
      </c>
      <c r="H695" s="43" t="n">
        <v>12.0987</v>
      </c>
      <c r="I695" s="43" t="n">
        <v>17.2291</v>
      </c>
      <c r="J695" s="44" t="n">
        <v>345</v>
      </c>
      <c r="K69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5" s="46">
        <f>(Dashboard!$C$13*tblHistory[[#This Row],[NDX S]]+Dashboard!$C$14*tblHistory[[#This Row],[SOX S]]+Dashboard!$C$15*tblHistory[[#This Row],[AIQ S]])/(Dashboard!$C$13+Dashboard!$C$14+Dashboard!$C$15)*100</f>
        <v/>
      </c>
      <c r="U695" s="46">
        <f>(Dashboard!$C$16*tblHistory[[#This Row],[DTCR S]]+Dashboard!$C$17*tblHistory[[#This Row],[BBB S]]+Dashboard!$C$18*tblHistory[[#This Row],[CCC S]])/(Dashboard!$C$16+Dashboard!$C$17+Dashboard!$C$18)*100</f>
        <v/>
      </c>
      <c r="V695" s="46">
        <f>(Dashboard!$C$19*tblHistory[[#This Row],[BIZD S]]+Dashboard!$C$20*tblHistory[[#This Row],[BKLN S]]+Dashboard!$C$21*tblHistory[[#This Row],[HY S]])/(Dashboard!$C$19+Dashboard!$C$20+Dashboard!$C$21)*100</f>
        <v/>
      </c>
      <c r="W69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5" s="46">
        <f>IFERROR(--(tblHistory[[#This Row],[Score]]&gt;=50),0)</f>
        <v/>
      </c>
      <c r="Y695" s="46">
        <f>IFERROR(--AND(tblHistory[[#This Row],[Score]]&gt;=60,OR(AND(tblHistory[[#This Row],[BIZD S]]&gt;=0.8,tblHistory[[#This Row],[BKLN S]]&gt;=0.5),tblHistory[[#This Row],[CCC S]]&gt;=0.8)),0)</f>
        <v/>
      </c>
      <c r="Z695" s="46">
        <f>IFERROR(--AND(tblHistory[[#This Row],[Score]]&gt;=70,tblHistory[[#This Row],[SOX S]]&gt;=0.83,tblHistory[[#This Row],[AIQ S]]&gt;=0.8),0)</f>
        <v/>
      </c>
      <c r="AA69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6">
      <c r="A696" s="42" t="n">
        <v>45315</v>
      </c>
      <c r="B696" s="43" t="n">
        <v>17499.3008</v>
      </c>
      <c r="C696" s="43" t="n">
        <v>4483.3301</v>
      </c>
      <c r="D696" s="43" t="n">
        <v>31.7888</v>
      </c>
      <c r="E696" s="43" t="n">
        <v>14.0076</v>
      </c>
      <c r="F696" s="44" t="n">
        <v>123</v>
      </c>
      <c r="G696" s="44" t="n">
        <v>915</v>
      </c>
      <c r="H696" s="43" t="n">
        <v>12.04</v>
      </c>
      <c r="I696" s="43" t="n">
        <v>17.1963</v>
      </c>
      <c r="J696" s="44" t="n">
        <v>344</v>
      </c>
      <c r="K69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6" s="46">
        <f>(Dashboard!$C$13*tblHistory[[#This Row],[NDX S]]+Dashboard!$C$14*tblHistory[[#This Row],[SOX S]]+Dashboard!$C$15*tblHistory[[#This Row],[AIQ S]])/(Dashboard!$C$13+Dashboard!$C$14+Dashboard!$C$15)*100</f>
        <v/>
      </c>
      <c r="U696" s="46">
        <f>(Dashboard!$C$16*tblHistory[[#This Row],[DTCR S]]+Dashboard!$C$17*tblHistory[[#This Row],[BBB S]]+Dashboard!$C$18*tblHistory[[#This Row],[CCC S]])/(Dashboard!$C$16+Dashboard!$C$17+Dashboard!$C$18)*100</f>
        <v/>
      </c>
      <c r="V696" s="46">
        <f>(Dashboard!$C$19*tblHistory[[#This Row],[BIZD S]]+Dashboard!$C$20*tblHistory[[#This Row],[BKLN S]]+Dashboard!$C$21*tblHistory[[#This Row],[HY S]])/(Dashboard!$C$19+Dashboard!$C$20+Dashboard!$C$21)*100</f>
        <v/>
      </c>
      <c r="W69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6" s="46">
        <f>IFERROR(--(tblHistory[[#This Row],[Score]]&gt;=50),0)</f>
        <v/>
      </c>
      <c r="Y696" s="46">
        <f>IFERROR(--AND(tblHistory[[#This Row],[Score]]&gt;=60,OR(AND(tblHistory[[#This Row],[BIZD S]]&gt;=0.8,tblHistory[[#This Row],[BKLN S]]&gt;=0.5),tblHistory[[#This Row],[CCC S]]&gt;=0.8)),0)</f>
        <v/>
      </c>
      <c r="Z696" s="46">
        <f>IFERROR(--AND(tblHistory[[#This Row],[Score]]&gt;=70,tblHistory[[#This Row],[SOX S]]&gt;=0.83,tblHistory[[#This Row],[AIQ S]]&gt;=0.8),0)</f>
        <v/>
      </c>
      <c r="AA69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7">
      <c r="A697" s="42" t="n">
        <v>45314</v>
      </c>
      <c r="B697" s="43" t="n">
        <v>17404.2109</v>
      </c>
      <c r="C697" s="43" t="n">
        <v>4415.2598</v>
      </c>
      <c r="D697" s="43" t="n">
        <v>31.5496</v>
      </c>
      <c r="E697" s="43" t="n">
        <v>14.0269</v>
      </c>
      <c r="F697" s="44" t="n">
        <v>124</v>
      </c>
      <c r="G697" s="44" t="n">
        <v>919</v>
      </c>
      <c r="H697" s="43" t="n">
        <v>12.0914</v>
      </c>
      <c r="I697" s="43" t="n">
        <v>17.2291</v>
      </c>
      <c r="J697" s="44" t="n">
        <v>351</v>
      </c>
      <c r="K69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7" s="46">
        <f>(Dashboard!$C$13*tblHistory[[#This Row],[NDX S]]+Dashboard!$C$14*tblHistory[[#This Row],[SOX S]]+Dashboard!$C$15*tblHistory[[#This Row],[AIQ S]])/(Dashboard!$C$13+Dashboard!$C$14+Dashboard!$C$15)*100</f>
        <v/>
      </c>
      <c r="U697" s="46">
        <f>(Dashboard!$C$16*tblHistory[[#This Row],[DTCR S]]+Dashboard!$C$17*tblHistory[[#This Row],[BBB S]]+Dashboard!$C$18*tblHistory[[#This Row],[CCC S]])/(Dashboard!$C$16+Dashboard!$C$17+Dashboard!$C$18)*100</f>
        <v/>
      </c>
      <c r="V697" s="46">
        <f>(Dashboard!$C$19*tblHistory[[#This Row],[BIZD S]]+Dashboard!$C$20*tblHistory[[#This Row],[BKLN S]]+Dashboard!$C$21*tblHistory[[#This Row],[HY S]])/(Dashboard!$C$19+Dashboard!$C$20+Dashboard!$C$21)*100</f>
        <v/>
      </c>
      <c r="W69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7" s="46">
        <f>IFERROR(--(tblHistory[[#This Row],[Score]]&gt;=50),0)</f>
        <v/>
      </c>
      <c r="Y697" s="46">
        <f>IFERROR(--AND(tblHistory[[#This Row],[Score]]&gt;=60,OR(AND(tblHistory[[#This Row],[BIZD S]]&gt;=0.8,tblHistory[[#This Row],[BKLN S]]&gt;=0.5),tblHistory[[#This Row],[CCC S]]&gt;=0.8)),0)</f>
        <v/>
      </c>
      <c r="Z697" s="46">
        <f>IFERROR(--AND(tblHistory[[#This Row],[Score]]&gt;=70,tblHistory[[#This Row],[SOX S]]&gt;=0.83,tblHistory[[#This Row],[AIQ S]]&gt;=0.8),0)</f>
        <v/>
      </c>
      <c r="AA69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8">
      <c r="A698" s="42" t="n">
        <v>45313</v>
      </c>
      <c r="B698" s="43" t="n">
        <v>17330.3809</v>
      </c>
      <c r="C698" s="43" t="n">
        <v>4386.6001</v>
      </c>
      <c r="D698" s="43" t="n">
        <v>31.3304</v>
      </c>
      <c r="E698" s="43" t="n">
        <v>14.0105</v>
      </c>
      <c r="F698" s="44" t="n">
        <v>124</v>
      </c>
      <c r="G698" s="44" t="n">
        <v>922</v>
      </c>
      <c r="H698" s="43" t="n">
        <v>12.0767</v>
      </c>
      <c r="I698" s="43" t="n">
        <v>17.2373</v>
      </c>
      <c r="J698" s="44" t="n">
        <v>349</v>
      </c>
      <c r="K69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8" s="46">
        <f>(Dashboard!$C$13*tblHistory[[#This Row],[NDX S]]+Dashboard!$C$14*tblHistory[[#This Row],[SOX S]]+Dashboard!$C$15*tblHistory[[#This Row],[AIQ S]])/(Dashboard!$C$13+Dashboard!$C$14+Dashboard!$C$15)*100</f>
        <v/>
      </c>
      <c r="U698" s="46">
        <f>(Dashboard!$C$16*tblHistory[[#This Row],[DTCR S]]+Dashboard!$C$17*tblHistory[[#This Row],[BBB S]]+Dashboard!$C$18*tblHistory[[#This Row],[CCC S]])/(Dashboard!$C$16+Dashboard!$C$17+Dashboard!$C$18)*100</f>
        <v/>
      </c>
      <c r="V698" s="46">
        <f>(Dashboard!$C$19*tblHistory[[#This Row],[BIZD S]]+Dashboard!$C$20*tblHistory[[#This Row],[BKLN S]]+Dashboard!$C$21*tblHistory[[#This Row],[HY S]])/(Dashboard!$C$19+Dashboard!$C$20+Dashboard!$C$21)*100</f>
        <v/>
      </c>
      <c r="W69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8" s="46">
        <f>IFERROR(--(tblHistory[[#This Row],[Score]]&gt;=50),0)</f>
        <v/>
      </c>
      <c r="Y698" s="46">
        <f>IFERROR(--AND(tblHistory[[#This Row],[Score]]&gt;=60,OR(AND(tblHistory[[#This Row],[BIZD S]]&gt;=0.8,tblHistory[[#This Row],[BKLN S]]&gt;=0.5),tblHistory[[#This Row],[CCC S]]&gt;=0.8)),0)</f>
        <v/>
      </c>
      <c r="Z698" s="46">
        <f>IFERROR(--AND(tblHistory[[#This Row],[Score]]&gt;=70,tblHistory[[#This Row],[SOX S]]&gt;=0.83,tblHistory[[#This Row],[AIQ S]]&gt;=0.8),0)</f>
        <v/>
      </c>
      <c r="AA69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699">
      <c r="A699" s="42" t="n">
        <v>45310</v>
      </c>
      <c r="B699" s="43" t="n">
        <v>17314</v>
      </c>
      <c r="C699" s="43" t="n">
        <v>4375.6499</v>
      </c>
      <c r="D699" s="43" t="n">
        <v>31.2407</v>
      </c>
      <c r="E699" s="43" t="n">
        <v>13.9302</v>
      </c>
      <c r="F699" s="44" t="n">
        <v>124</v>
      </c>
      <c r="G699" s="44" t="n">
        <v>928</v>
      </c>
      <c r="H699" s="43" t="n">
        <v>11.996</v>
      </c>
      <c r="I699" s="43" t="n">
        <v>17.2152</v>
      </c>
      <c r="J699" s="44" t="n">
        <v>354</v>
      </c>
      <c r="K69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69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69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69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69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69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69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69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69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699" s="46">
        <f>(Dashboard!$C$13*tblHistory[[#This Row],[NDX S]]+Dashboard!$C$14*tblHistory[[#This Row],[SOX S]]+Dashboard!$C$15*tblHistory[[#This Row],[AIQ S]])/(Dashboard!$C$13+Dashboard!$C$14+Dashboard!$C$15)*100</f>
        <v/>
      </c>
      <c r="U699" s="46">
        <f>(Dashboard!$C$16*tblHistory[[#This Row],[DTCR S]]+Dashboard!$C$17*tblHistory[[#This Row],[BBB S]]+Dashboard!$C$18*tblHistory[[#This Row],[CCC S]])/(Dashboard!$C$16+Dashboard!$C$17+Dashboard!$C$18)*100</f>
        <v/>
      </c>
      <c r="V699" s="46">
        <f>(Dashboard!$C$19*tblHistory[[#This Row],[BIZD S]]+Dashboard!$C$20*tblHistory[[#This Row],[BKLN S]]+Dashboard!$C$21*tblHistory[[#This Row],[HY S]])/(Dashboard!$C$19+Dashboard!$C$20+Dashboard!$C$21)*100</f>
        <v/>
      </c>
      <c r="W69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699" s="46">
        <f>IFERROR(--(tblHistory[[#This Row],[Score]]&gt;=50),0)</f>
        <v/>
      </c>
      <c r="Y699" s="46">
        <f>IFERROR(--AND(tblHistory[[#This Row],[Score]]&gt;=60,OR(AND(tblHistory[[#This Row],[BIZD S]]&gt;=0.8,tblHistory[[#This Row],[BKLN S]]&gt;=0.5),tblHistory[[#This Row],[CCC S]]&gt;=0.8)),0)</f>
        <v/>
      </c>
      <c r="Z699" s="46">
        <f>IFERROR(--AND(tblHistory[[#This Row],[Score]]&gt;=70,tblHistory[[#This Row],[SOX S]]&gt;=0.83,tblHistory[[#This Row],[AIQ S]]&gt;=0.8),0)</f>
        <v/>
      </c>
      <c r="AA69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69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69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69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69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0">
      <c r="A700" s="42" t="n">
        <v>45309</v>
      </c>
      <c r="B700" s="43" t="n">
        <v>16982.2891</v>
      </c>
      <c r="C700" s="43" t="n">
        <v>4206.52</v>
      </c>
      <c r="D700" s="43" t="n">
        <v>30.6826</v>
      </c>
      <c r="E700" s="43" t="n">
        <v>13.6497</v>
      </c>
      <c r="F700" s="44" t="n">
        <v>124</v>
      </c>
      <c r="G700" s="44" t="n">
        <v>938</v>
      </c>
      <c r="H700" s="43" t="n">
        <v>11.9667</v>
      </c>
      <c r="I700" s="43" t="n">
        <v>17.207</v>
      </c>
      <c r="J700" s="44" t="n">
        <v>358</v>
      </c>
      <c r="K70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0" s="46">
        <f>(Dashboard!$C$13*tblHistory[[#This Row],[NDX S]]+Dashboard!$C$14*tblHistory[[#This Row],[SOX S]]+Dashboard!$C$15*tblHistory[[#This Row],[AIQ S]])/(Dashboard!$C$13+Dashboard!$C$14+Dashboard!$C$15)*100</f>
        <v/>
      </c>
      <c r="U700" s="46">
        <f>(Dashboard!$C$16*tblHistory[[#This Row],[DTCR S]]+Dashboard!$C$17*tblHistory[[#This Row],[BBB S]]+Dashboard!$C$18*tblHistory[[#This Row],[CCC S]])/(Dashboard!$C$16+Dashboard!$C$17+Dashboard!$C$18)*100</f>
        <v/>
      </c>
      <c r="V700" s="46">
        <f>(Dashboard!$C$19*tblHistory[[#This Row],[BIZD S]]+Dashboard!$C$20*tblHistory[[#This Row],[BKLN S]]+Dashboard!$C$21*tblHistory[[#This Row],[HY S]])/(Dashboard!$C$19+Dashboard!$C$20+Dashboard!$C$21)*100</f>
        <v/>
      </c>
      <c r="W70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0" s="46">
        <f>IFERROR(--(tblHistory[[#This Row],[Score]]&gt;=50),0)</f>
        <v/>
      </c>
      <c r="Y700" s="46">
        <f>IFERROR(--AND(tblHistory[[#This Row],[Score]]&gt;=60,OR(AND(tblHistory[[#This Row],[BIZD S]]&gt;=0.8,tblHistory[[#This Row],[BKLN S]]&gt;=0.5),tblHistory[[#This Row],[CCC S]]&gt;=0.8)),0)</f>
        <v/>
      </c>
      <c r="Z700" s="46">
        <f>IFERROR(--AND(tblHistory[[#This Row],[Score]]&gt;=70,tblHistory[[#This Row],[SOX S]]&gt;=0.83,tblHistory[[#This Row],[AIQ S]]&gt;=0.8),0)</f>
        <v/>
      </c>
      <c r="AA70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1">
      <c r="A701" s="42" t="n">
        <v>45308</v>
      </c>
      <c r="B701" s="43" t="n">
        <v>16736.2793</v>
      </c>
      <c r="C701" s="43" t="n">
        <v>4069.95</v>
      </c>
      <c r="D701" s="43" t="n">
        <v>30.284</v>
      </c>
      <c r="E701" s="43" t="n">
        <v>13.6293</v>
      </c>
      <c r="F701" s="44" t="n">
        <v>126</v>
      </c>
      <c r="G701" s="44" t="n">
        <v>940</v>
      </c>
      <c r="H701" s="43" t="n">
        <v>11.9006</v>
      </c>
      <c r="I701" s="43" t="n">
        <v>17.2152</v>
      </c>
      <c r="J701" s="44" t="n">
        <v>362</v>
      </c>
      <c r="K70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1" s="46">
        <f>(Dashboard!$C$13*tblHistory[[#This Row],[NDX S]]+Dashboard!$C$14*tblHistory[[#This Row],[SOX S]]+Dashboard!$C$15*tblHistory[[#This Row],[AIQ S]])/(Dashboard!$C$13+Dashboard!$C$14+Dashboard!$C$15)*100</f>
        <v/>
      </c>
      <c r="U701" s="46">
        <f>(Dashboard!$C$16*tblHistory[[#This Row],[DTCR S]]+Dashboard!$C$17*tblHistory[[#This Row],[BBB S]]+Dashboard!$C$18*tblHistory[[#This Row],[CCC S]])/(Dashboard!$C$16+Dashboard!$C$17+Dashboard!$C$18)*100</f>
        <v/>
      </c>
      <c r="V701" s="46">
        <f>(Dashboard!$C$19*tblHistory[[#This Row],[BIZD S]]+Dashboard!$C$20*tblHistory[[#This Row],[BKLN S]]+Dashboard!$C$21*tblHistory[[#This Row],[HY S]])/(Dashboard!$C$19+Dashboard!$C$20+Dashboard!$C$21)*100</f>
        <v/>
      </c>
      <c r="W70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1" s="46">
        <f>IFERROR(--(tblHistory[[#This Row],[Score]]&gt;=50),0)</f>
        <v/>
      </c>
      <c r="Y701" s="46">
        <f>IFERROR(--AND(tblHistory[[#This Row],[Score]]&gt;=60,OR(AND(tblHistory[[#This Row],[BIZD S]]&gt;=0.8,tblHistory[[#This Row],[BKLN S]]&gt;=0.5),tblHistory[[#This Row],[CCC S]]&gt;=0.8)),0)</f>
        <v/>
      </c>
      <c r="Z701" s="46">
        <f>IFERROR(--AND(tblHistory[[#This Row],[Score]]&gt;=70,tblHistory[[#This Row],[SOX S]]&gt;=0.83,tblHistory[[#This Row],[AIQ S]]&gt;=0.8),0)</f>
        <v/>
      </c>
      <c r="AA70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2">
      <c r="A702" s="42" t="n">
        <v>45307</v>
      </c>
      <c r="B702" s="43" t="n">
        <v>16830.7109</v>
      </c>
      <c r="C702" s="43" t="n">
        <v>4105.9399</v>
      </c>
      <c r="D702" s="43" t="n">
        <v>30.5531</v>
      </c>
      <c r="E702" s="43" t="n">
        <v>13.8441</v>
      </c>
      <c r="F702" s="44" t="n">
        <v>126</v>
      </c>
      <c r="G702" s="44" t="n">
        <v>934</v>
      </c>
      <c r="H702" s="43" t="n">
        <v>11.908</v>
      </c>
      <c r="I702" s="43" t="n">
        <v>17.2314</v>
      </c>
      <c r="J702" s="44" t="n">
        <v>358</v>
      </c>
      <c r="K70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2" s="46">
        <f>(Dashboard!$C$13*tblHistory[[#This Row],[NDX S]]+Dashboard!$C$14*tblHistory[[#This Row],[SOX S]]+Dashboard!$C$15*tblHistory[[#This Row],[AIQ S]])/(Dashboard!$C$13+Dashboard!$C$14+Dashboard!$C$15)*100</f>
        <v/>
      </c>
      <c r="U702" s="46">
        <f>(Dashboard!$C$16*tblHistory[[#This Row],[DTCR S]]+Dashboard!$C$17*tblHistory[[#This Row],[BBB S]]+Dashboard!$C$18*tblHistory[[#This Row],[CCC S]])/(Dashboard!$C$16+Dashboard!$C$17+Dashboard!$C$18)*100</f>
        <v/>
      </c>
      <c r="V702" s="46">
        <f>(Dashboard!$C$19*tblHistory[[#This Row],[BIZD S]]+Dashboard!$C$20*tblHistory[[#This Row],[BKLN S]]+Dashboard!$C$21*tblHistory[[#This Row],[HY S]])/(Dashboard!$C$19+Dashboard!$C$20+Dashboard!$C$21)*100</f>
        <v/>
      </c>
      <c r="W70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2" s="46">
        <f>IFERROR(--(tblHistory[[#This Row],[Score]]&gt;=50),0)</f>
        <v/>
      </c>
      <c r="Y702" s="46">
        <f>IFERROR(--AND(tblHistory[[#This Row],[Score]]&gt;=60,OR(AND(tblHistory[[#This Row],[BIZD S]]&gt;=0.8,tblHistory[[#This Row],[BKLN S]]&gt;=0.5),tblHistory[[#This Row],[CCC S]]&gt;=0.8)),0)</f>
        <v/>
      </c>
      <c r="Z702" s="46">
        <f>IFERROR(--AND(tblHistory[[#This Row],[Score]]&gt;=70,tblHistory[[#This Row],[SOX S]]&gt;=0.83,tblHistory[[#This Row],[AIQ S]]&gt;=0.8),0)</f>
        <v/>
      </c>
      <c r="AA70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3">
      <c r="A703" s="42" t="n">
        <v>45303</v>
      </c>
      <c r="B703" s="43" t="n">
        <v>16832.9199</v>
      </c>
      <c r="C703" s="43" t="n">
        <v>4052.4299</v>
      </c>
      <c r="D703" s="43" t="n">
        <v>30.7624</v>
      </c>
      <c r="E703" s="43" t="n">
        <v>13.9205</v>
      </c>
      <c r="F703" s="44" t="n">
        <v>126</v>
      </c>
      <c r="G703" s="44" t="n">
        <v>941</v>
      </c>
      <c r="H703" s="43" t="n">
        <v>12.0254</v>
      </c>
      <c r="I703" s="43" t="n">
        <v>17.2314</v>
      </c>
      <c r="J703" s="44" t="n">
        <v>356</v>
      </c>
      <c r="K70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3" s="46">
        <f>(Dashboard!$C$13*tblHistory[[#This Row],[NDX S]]+Dashboard!$C$14*tblHistory[[#This Row],[SOX S]]+Dashboard!$C$15*tblHistory[[#This Row],[AIQ S]])/(Dashboard!$C$13+Dashboard!$C$14+Dashboard!$C$15)*100</f>
        <v/>
      </c>
      <c r="U703" s="46">
        <f>(Dashboard!$C$16*tblHistory[[#This Row],[DTCR S]]+Dashboard!$C$17*tblHistory[[#This Row],[BBB S]]+Dashboard!$C$18*tblHistory[[#This Row],[CCC S]])/(Dashboard!$C$16+Dashboard!$C$17+Dashboard!$C$18)*100</f>
        <v/>
      </c>
      <c r="V703" s="46">
        <f>(Dashboard!$C$19*tblHistory[[#This Row],[BIZD S]]+Dashboard!$C$20*tblHistory[[#This Row],[BKLN S]]+Dashboard!$C$21*tblHistory[[#This Row],[HY S]])/(Dashboard!$C$19+Dashboard!$C$20+Dashboard!$C$21)*100</f>
        <v/>
      </c>
      <c r="W70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3" s="46">
        <f>IFERROR(--(tblHistory[[#This Row],[Score]]&gt;=50),0)</f>
        <v/>
      </c>
      <c r="Y703" s="46">
        <f>IFERROR(--AND(tblHistory[[#This Row],[Score]]&gt;=60,OR(AND(tblHistory[[#This Row],[BIZD S]]&gt;=0.8,tblHistory[[#This Row],[BKLN S]]&gt;=0.5),tblHistory[[#This Row],[CCC S]]&gt;=0.8)),0)</f>
        <v/>
      </c>
      <c r="Z703" s="46">
        <f>IFERROR(--AND(tblHistory[[#This Row],[Score]]&gt;=70,tblHistory[[#This Row],[SOX S]]&gt;=0.83,tblHistory[[#This Row],[AIQ S]]&gt;=0.8),0)</f>
        <v/>
      </c>
      <c r="AA70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4">
      <c r="A704" s="42" t="n">
        <v>45302</v>
      </c>
      <c r="B704" s="43" t="n">
        <v>16820.9004</v>
      </c>
      <c r="C704" s="43" t="n">
        <v>4067.8999</v>
      </c>
      <c r="D704" s="43" t="n">
        <v>30.7225</v>
      </c>
      <c r="E704" s="43" t="n">
        <v>13.8451</v>
      </c>
      <c r="F704" s="44" t="n">
        <v>127</v>
      </c>
      <c r="G704" s="44" t="n">
        <v>940</v>
      </c>
      <c r="H704" s="43" t="n">
        <v>12.0107</v>
      </c>
      <c r="I704" s="43" t="n">
        <v>17.2314</v>
      </c>
      <c r="J704" s="44" t="n">
        <v>355</v>
      </c>
      <c r="K70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4" s="46">
        <f>(Dashboard!$C$13*tblHistory[[#This Row],[NDX S]]+Dashboard!$C$14*tblHistory[[#This Row],[SOX S]]+Dashboard!$C$15*tblHistory[[#This Row],[AIQ S]])/(Dashboard!$C$13+Dashboard!$C$14+Dashboard!$C$15)*100</f>
        <v/>
      </c>
      <c r="U704" s="46">
        <f>(Dashboard!$C$16*tblHistory[[#This Row],[DTCR S]]+Dashboard!$C$17*tblHistory[[#This Row],[BBB S]]+Dashboard!$C$18*tblHistory[[#This Row],[CCC S]])/(Dashboard!$C$16+Dashboard!$C$17+Dashboard!$C$18)*100</f>
        <v/>
      </c>
      <c r="V704" s="46">
        <f>(Dashboard!$C$19*tblHistory[[#This Row],[BIZD S]]+Dashboard!$C$20*tblHistory[[#This Row],[BKLN S]]+Dashboard!$C$21*tblHistory[[#This Row],[HY S]])/(Dashboard!$C$19+Dashboard!$C$20+Dashboard!$C$21)*100</f>
        <v/>
      </c>
      <c r="W70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4" s="46">
        <f>IFERROR(--(tblHistory[[#This Row],[Score]]&gt;=50),0)</f>
        <v/>
      </c>
      <c r="Y704" s="46">
        <f>IFERROR(--AND(tblHistory[[#This Row],[Score]]&gt;=60,OR(AND(tblHistory[[#This Row],[BIZD S]]&gt;=0.8,tblHistory[[#This Row],[BKLN S]]&gt;=0.5),tblHistory[[#This Row],[CCC S]]&gt;=0.8)),0)</f>
        <v/>
      </c>
      <c r="Z704" s="46">
        <f>IFERROR(--AND(tblHistory[[#This Row],[Score]]&gt;=70,tblHistory[[#This Row],[SOX S]]&gt;=0.83,tblHistory[[#This Row],[AIQ S]]&gt;=0.8),0)</f>
        <v/>
      </c>
      <c r="AA70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5">
      <c r="A705" s="42" t="n">
        <v>45301</v>
      </c>
      <c r="B705" s="43" t="n">
        <v>16793.0508</v>
      </c>
      <c r="C705" s="43" t="n">
        <v>4048.8401</v>
      </c>
      <c r="D705" s="43" t="n">
        <v>30.5332</v>
      </c>
      <c r="E705" s="43" t="n">
        <v>13.8731</v>
      </c>
      <c r="F705" s="44" t="n">
        <v>128</v>
      </c>
      <c r="G705" s="44" t="n">
        <v>938</v>
      </c>
      <c r="H705" s="43" t="n">
        <v>12.04</v>
      </c>
      <c r="I705" s="43" t="n">
        <v>17.2152</v>
      </c>
      <c r="J705" s="44" t="n">
        <v>350</v>
      </c>
      <c r="K70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5" s="46">
        <f>(Dashboard!$C$13*tblHistory[[#This Row],[NDX S]]+Dashboard!$C$14*tblHistory[[#This Row],[SOX S]]+Dashboard!$C$15*tblHistory[[#This Row],[AIQ S]])/(Dashboard!$C$13+Dashboard!$C$14+Dashboard!$C$15)*100</f>
        <v/>
      </c>
      <c r="U705" s="46">
        <f>(Dashboard!$C$16*tblHistory[[#This Row],[DTCR S]]+Dashboard!$C$17*tblHistory[[#This Row],[BBB S]]+Dashboard!$C$18*tblHistory[[#This Row],[CCC S]])/(Dashboard!$C$16+Dashboard!$C$17+Dashboard!$C$18)*100</f>
        <v/>
      </c>
      <c r="V705" s="46">
        <f>(Dashboard!$C$19*tblHistory[[#This Row],[BIZD S]]+Dashboard!$C$20*tblHistory[[#This Row],[BKLN S]]+Dashboard!$C$21*tblHistory[[#This Row],[HY S]])/(Dashboard!$C$19+Dashboard!$C$20+Dashboard!$C$21)*100</f>
        <v/>
      </c>
      <c r="W70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5" s="46">
        <f>IFERROR(--(tblHistory[[#This Row],[Score]]&gt;=50),0)</f>
        <v/>
      </c>
      <c r="Y705" s="46">
        <f>IFERROR(--AND(tblHistory[[#This Row],[Score]]&gt;=60,OR(AND(tblHistory[[#This Row],[BIZD S]]&gt;=0.8,tblHistory[[#This Row],[BKLN S]]&gt;=0.5),tblHistory[[#This Row],[CCC S]]&gt;=0.8)),0)</f>
        <v/>
      </c>
      <c r="Z705" s="46">
        <f>IFERROR(--AND(tblHistory[[#This Row],[Score]]&gt;=70,tblHistory[[#This Row],[SOX S]]&gt;=0.83,tblHistory[[#This Row],[AIQ S]]&gt;=0.8),0)</f>
        <v/>
      </c>
      <c r="AA70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6">
      <c r="A706" s="42" t="n">
        <v>45300</v>
      </c>
      <c r="B706" s="43" t="n">
        <v>16678.6992</v>
      </c>
      <c r="C706" s="43" t="n">
        <v>4064.6499</v>
      </c>
      <c r="D706" s="43" t="n">
        <v>30.3239</v>
      </c>
      <c r="E706" s="43" t="n">
        <v>13.8818</v>
      </c>
      <c r="F706" s="44" t="n">
        <v>130</v>
      </c>
      <c r="G706" s="44" t="n">
        <v>947</v>
      </c>
      <c r="H706" s="43" t="n">
        <v>12.04</v>
      </c>
      <c r="I706" s="43" t="n">
        <v>17.2152</v>
      </c>
      <c r="J706" s="44" t="n">
        <v>359</v>
      </c>
      <c r="K70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6" s="46">
        <f>(Dashboard!$C$13*tblHistory[[#This Row],[NDX S]]+Dashboard!$C$14*tblHistory[[#This Row],[SOX S]]+Dashboard!$C$15*tblHistory[[#This Row],[AIQ S]])/(Dashboard!$C$13+Dashboard!$C$14+Dashboard!$C$15)*100</f>
        <v/>
      </c>
      <c r="U706" s="46">
        <f>(Dashboard!$C$16*tblHistory[[#This Row],[DTCR S]]+Dashboard!$C$17*tblHistory[[#This Row],[BBB S]]+Dashboard!$C$18*tblHistory[[#This Row],[CCC S]])/(Dashboard!$C$16+Dashboard!$C$17+Dashboard!$C$18)*100</f>
        <v/>
      </c>
      <c r="V706" s="46">
        <f>(Dashboard!$C$19*tblHistory[[#This Row],[BIZD S]]+Dashboard!$C$20*tblHistory[[#This Row],[BKLN S]]+Dashboard!$C$21*tblHistory[[#This Row],[HY S]])/(Dashboard!$C$19+Dashboard!$C$20+Dashboard!$C$21)*100</f>
        <v/>
      </c>
      <c r="W70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6" s="46">
        <f>IFERROR(--(tblHistory[[#This Row],[Score]]&gt;=50),0)</f>
        <v/>
      </c>
      <c r="Y706" s="46">
        <f>IFERROR(--AND(tblHistory[[#This Row],[Score]]&gt;=60,OR(AND(tblHistory[[#This Row],[BIZD S]]&gt;=0.8,tblHistory[[#This Row],[BKLN S]]&gt;=0.5),tblHistory[[#This Row],[CCC S]]&gt;=0.8)),0)</f>
        <v/>
      </c>
      <c r="Z706" s="46">
        <f>IFERROR(--AND(tblHistory[[#This Row],[Score]]&gt;=70,tblHistory[[#This Row],[SOX S]]&gt;=0.83,tblHistory[[#This Row],[AIQ S]]&gt;=0.8),0)</f>
        <v/>
      </c>
      <c r="AA70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7">
      <c r="A707" s="42" t="n">
        <v>45299</v>
      </c>
      <c r="B707" s="43" t="n">
        <v>16649.8691</v>
      </c>
      <c r="C707" s="43" t="n">
        <v>4062.48</v>
      </c>
      <c r="D707" s="43" t="n">
        <v>30.4385</v>
      </c>
      <c r="E707" s="43" t="n">
        <v>13.9989</v>
      </c>
      <c r="F707" s="44" t="n">
        <v>132</v>
      </c>
      <c r="G707" s="44" t="n">
        <v>953</v>
      </c>
      <c r="H707" s="43" t="n">
        <v>12.0914</v>
      </c>
      <c r="I707" s="43" t="n">
        <v>17.2314</v>
      </c>
      <c r="J707" s="44" t="n">
        <v>363</v>
      </c>
      <c r="K70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7" s="46">
        <f>(Dashboard!$C$13*tblHistory[[#This Row],[NDX S]]+Dashboard!$C$14*tblHistory[[#This Row],[SOX S]]+Dashboard!$C$15*tblHistory[[#This Row],[AIQ S]])/(Dashboard!$C$13+Dashboard!$C$14+Dashboard!$C$15)*100</f>
        <v/>
      </c>
      <c r="U707" s="46">
        <f>(Dashboard!$C$16*tblHistory[[#This Row],[DTCR S]]+Dashboard!$C$17*tblHistory[[#This Row],[BBB S]]+Dashboard!$C$18*tblHistory[[#This Row],[CCC S]])/(Dashboard!$C$16+Dashboard!$C$17+Dashboard!$C$18)*100</f>
        <v/>
      </c>
      <c r="V707" s="46">
        <f>(Dashboard!$C$19*tblHistory[[#This Row],[BIZD S]]+Dashboard!$C$20*tblHistory[[#This Row],[BKLN S]]+Dashboard!$C$21*tblHistory[[#This Row],[HY S]])/(Dashboard!$C$19+Dashboard!$C$20+Dashboard!$C$21)*100</f>
        <v/>
      </c>
      <c r="W70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7" s="46">
        <f>IFERROR(--(tblHistory[[#This Row],[Score]]&gt;=50),0)</f>
        <v/>
      </c>
      <c r="Y707" s="46">
        <f>IFERROR(--AND(tblHistory[[#This Row],[Score]]&gt;=60,OR(AND(tblHistory[[#This Row],[BIZD S]]&gt;=0.8,tblHistory[[#This Row],[BKLN S]]&gt;=0.5),tblHistory[[#This Row],[CCC S]]&gt;=0.8)),0)</f>
        <v/>
      </c>
      <c r="Z707" s="46">
        <f>IFERROR(--AND(tblHistory[[#This Row],[Score]]&gt;=70,tblHistory[[#This Row],[SOX S]]&gt;=0.83,tblHistory[[#This Row],[AIQ S]]&gt;=0.8),0)</f>
        <v/>
      </c>
      <c r="AA70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8">
      <c r="A708" s="42" t="n">
        <v>45296</v>
      </c>
      <c r="B708" s="43" t="n">
        <v>16305.9805</v>
      </c>
      <c r="C708" s="43" t="n">
        <v>3933.49</v>
      </c>
      <c r="D708" s="43" t="n">
        <v>29.7659</v>
      </c>
      <c r="E708" s="43" t="n">
        <v>13.7706</v>
      </c>
      <c r="F708" s="44" t="n">
        <v>133</v>
      </c>
      <c r="G708" s="44" t="n">
        <v>954</v>
      </c>
      <c r="H708" s="43" t="n">
        <v>12.0327</v>
      </c>
      <c r="I708" s="43" t="n">
        <v>17.1908</v>
      </c>
      <c r="J708" s="44" t="n">
        <v>368</v>
      </c>
      <c r="K70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8" s="46">
        <f>(Dashboard!$C$13*tblHistory[[#This Row],[NDX S]]+Dashboard!$C$14*tblHistory[[#This Row],[SOX S]]+Dashboard!$C$15*tblHistory[[#This Row],[AIQ S]])/(Dashboard!$C$13+Dashboard!$C$14+Dashboard!$C$15)*100</f>
        <v/>
      </c>
      <c r="U708" s="46">
        <f>(Dashboard!$C$16*tblHistory[[#This Row],[DTCR S]]+Dashboard!$C$17*tblHistory[[#This Row],[BBB S]]+Dashboard!$C$18*tblHistory[[#This Row],[CCC S]])/(Dashboard!$C$16+Dashboard!$C$17+Dashboard!$C$18)*100</f>
        <v/>
      </c>
      <c r="V708" s="46">
        <f>(Dashboard!$C$19*tblHistory[[#This Row],[BIZD S]]+Dashboard!$C$20*tblHistory[[#This Row],[BKLN S]]+Dashboard!$C$21*tblHistory[[#This Row],[HY S]])/(Dashboard!$C$19+Dashboard!$C$20+Dashboard!$C$21)*100</f>
        <v/>
      </c>
      <c r="W70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8" s="46">
        <f>IFERROR(--(tblHistory[[#This Row],[Score]]&gt;=50),0)</f>
        <v/>
      </c>
      <c r="Y708" s="46">
        <f>IFERROR(--AND(tblHistory[[#This Row],[Score]]&gt;=60,OR(AND(tblHistory[[#This Row],[BIZD S]]&gt;=0.8,tblHistory[[#This Row],[BKLN S]]&gt;=0.5),tblHistory[[#This Row],[CCC S]]&gt;=0.8)),0)</f>
        <v/>
      </c>
      <c r="Z708" s="46">
        <f>IFERROR(--AND(tblHistory[[#This Row],[Score]]&gt;=70,tblHistory[[#This Row],[SOX S]]&gt;=0.83,tblHistory[[#This Row],[AIQ S]]&gt;=0.8),0)</f>
        <v/>
      </c>
      <c r="AA70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09">
      <c r="A709" s="42" t="n">
        <v>45295</v>
      </c>
      <c r="B709" s="43" t="n">
        <v>16282.0098</v>
      </c>
      <c r="C709" s="43" t="n">
        <v>3908.8501</v>
      </c>
      <c r="D709" s="43" t="n">
        <v>29.7957</v>
      </c>
      <c r="E709" s="43" t="n">
        <v>13.8044</v>
      </c>
      <c r="F709" s="44" t="n">
        <v>134</v>
      </c>
      <c r="G709" s="44" t="n">
        <v>954</v>
      </c>
      <c r="H709" s="43" t="n">
        <v>12.0474</v>
      </c>
      <c r="I709" s="43" t="n">
        <v>17.1826</v>
      </c>
      <c r="J709" s="44" t="n">
        <v>369</v>
      </c>
      <c r="K70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0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0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0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0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0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0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0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0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09" s="46">
        <f>(Dashboard!$C$13*tblHistory[[#This Row],[NDX S]]+Dashboard!$C$14*tblHistory[[#This Row],[SOX S]]+Dashboard!$C$15*tblHistory[[#This Row],[AIQ S]])/(Dashboard!$C$13+Dashboard!$C$14+Dashboard!$C$15)*100</f>
        <v/>
      </c>
      <c r="U709" s="46">
        <f>(Dashboard!$C$16*tblHistory[[#This Row],[DTCR S]]+Dashboard!$C$17*tblHistory[[#This Row],[BBB S]]+Dashboard!$C$18*tblHistory[[#This Row],[CCC S]])/(Dashboard!$C$16+Dashboard!$C$17+Dashboard!$C$18)*100</f>
        <v/>
      </c>
      <c r="V709" s="46">
        <f>(Dashboard!$C$19*tblHistory[[#This Row],[BIZD S]]+Dashboard!$C$20*tblHistory[[#This Row],[BKLN S]]+Dashboard!$C$21*tblHistory[[#This Row],[HY S]])/(Dashboard!$C$19+Dashboard!$C$20+Dashboard!$C$21)*100</f>
        <v/>
      </c>
      <c r="W70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09" s="46">
        <f>IFERROR(--(tblHistory[[#This Row],[Score]]&gt;=50),0)</f>
        <v/>
      </c>
      <c r="Y709" s="46">
        <f>IFERROR(--AND(tblHistory[[#This Row],[Score]]&gt;=60,OR(AND(tblHistory[[#This Row],[BIZD S]]&gt;=0.8,tblHistory[[#This Row],[BKLN S]]&gt;=0.5),tblHistory[[#This Row],[CCC S]]&gt;=0.8)),0)</f>
        <v/>
      </c>
      <c r="Z709" s="46">
        <f>IFERROR(--AND(tblHistory[[#This Row],[Score]]&gt;=70,tblHistory[[#This Row],[SOX S]]&gt;=0.83,tblHistory[[#This Row],[AIQ S]]&gt;=0.8),0)</f>
        <v/>
      </c>
      <c r="AA70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0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0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0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0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0">
      <c r="A710" s="42" t="n">
        <v>45294</v>
      </c>
      <c r="B710" s="43" t="n">
        <v>16368.4902</v>
      </c>
      <c r="C710" s="43" t="n">
        <v>3941.21</v>
      </c>
      <c r="D710" s="43" t="n">
        <v>29.9552</v>
      </c>
      <c r="E710" s="43" t="n">
        <v>13.8528</v>
      </c>
      <c r="F710" s="44" t="n">
        <v>134</v>
      </c>
      <c r="G710" s="44" t="n">
        <v>952</v>
      </c>
      <c r="H710" s="43" t="n">
        <v>11.7612</v>
      </c>
      <c r="I710" s="43" t="n">
        <v>17.207</v>
      </c>
      <c r="J710" s="44" t="n">
        <v>371</v>
      </c>
      <c r="K71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0" s="46">
        <f>(Dashboard!$C$13*tblHistory[[#This Row],[NDX S]]+Dashboard!$C$14*tblHistory[[#This Row],[SOX S]]+Dashboard!$C$15*tblHistory[[#This Row],[AIQ S]])/(Dashboard!$C$13+Dashboard!$C$14+Dashboard!$C$15)*100</f>
        <v/>
      </c>
      <c r="U710" s="46">
        <f>(Dashboard!$C$16*tblHistory[[#This Row],[DTCR S]]+Dashboard!$C$17*tblHistory[[#This Row],[BBB S]]+Dashboard!$C$18*tblHistory[[#This Row],[CCC S]])/(Dashboard!$C$16+Dashboard!$C$17+Dashboard!$C$18)*100</f>
        <v/>
      </c>
      <c r="V710" s="46">
        <f>(Dashboard!$C$19*tblHistory[[#This Row],[BIZD S]]+Dashboard!$C$20*tblHistory[[#This Row],[BKLN S]]+Dashboard!$C$21*tblHistory[[#This Row],[HY S]])/(Dashboard!$C$19+Dashboard!$C$20+Dashboard!$C$21)*100</f>
        <v/>
      </c>
      <c r="W71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0" s="46">
        <f>IFERROR(--(tblHistory[[#This Row],[Score]]&gt;=50),0)</f>
        <v/>
      </c>
      <c r="Y710" s="46">
        <f>IFERROR(--AND(tblHistory[[#This Row],[Score]]&gt;=60,OR(AND(tblHistory[[#This Row],[BIZD S]]&gt;=0.8,tblHistory[[#This Row],[BKLN S]]&gt;=0.5),tblHistory[[#This Row],[CCC S]]&gt;=0.8)),0)</f>
        <v/>
      </c>
      <c r="Z710" s="46">
        <f>IFERROR(--AND(tblHistory[[#This Row],[Score]]&gt;=70,tblHistory[[#This Row],[SOX S]]&gt;=0.83,tblHistory[[#This Row],[AIQ S]]&gt;=0.8),0)</f>
        <v/>
      </c>
      <c r="AA71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1">
      <c r="A711" s="42" t="n">
        <v>45293</v>
      </c>
      <c r="B711" s="43" t="n">
        <v>16543.9395</v>
      </c>
      <c r="C711" s="43" t="n">
        <v>4023.04</v>
      </c>
      <c r="D711" s="43" t="n">
        <v>30.3339</v>
      </c>
      <c r="E711" s="43" t="n">
        <v>14.0869</v>
      </c>
      <c r="F711" s="44" t="n">
        <v>131</v>
      </c>
      <c r="G711" s="44" t="n">
        <v>925</v>
      </c>
      <c r="H711" s="43" t="n">
        <v>11.7979</v>
      </c>
      <c r="I711" s="43" t="n">
        <v>17.2152</v>
      </c>
      <c r="J711" s="44" t="n">
        <v>354</v>
      </c>
      <c r="K71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1" s="46">
        <f>(Dashboard!$C$13*tblHistory[[#This Row],[NDX S]]+Dashboard!$C$14*tblHistory[[#This Row],[SOX S]]+Dashboard!$C$15*tblHistory[[#This Row],[AIQ S]])/(Dashboard!$C$13+Dashboard!$C$14+Dashboard!$C$15)*100</f>
        <v/>
      </c>
      <c r="U711" s="46">
        <f>(Dashboard!$C$16*tblHistory[[#This Row],[DTCR S]]+Dashboard!$C$17*tblHistory[[#This Row],[BBB S]]+Dashboard!$C$18*tblHistory[[#This Row],[CCC S]])/(Dashboard!$C$16+Dashboard!$C$17+Dashboard!$C$18)*100</f>
        <v/>
      </c>
      <c r="V711" s="46">
        <f>(Dashboard!$C$19*tblHistory[[#This Row],[BIZD S]]+Dashboard!$C$20*tblHistory[[#This Row],[BKLN S]]+Dashboard!$C$21*tblHistory[[#This Row],[HY S]])/(Dashboard!$C$19+Dashboard!$C$20+Dashboard!$C$21)*100</f>
        <v/>
      </c>
      <c r="W71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1" s="46">
        <f>IFERROR(--(tblHistory[[#This Row],[Score]]&gt;=50),0)</f>
        <v/>
      </c>
      <c r="Y711" s="46">
        <f>IFERROR(--AND(tblHistory[[#This Row],[Score]]&gt;=60,OR(AND(tblHistory[[#This Row],[BIZD S]]&gt;=0.8,tblHistory[[#This Row],[BKLN S]]&gt;=0.5),tblHistory[[#This Row],[CCC S]]&gt;=0.8)),0)</f>
        <v/>
      </c>
      <c r="Z711" s="46">
        <f>IFERROR(--AND(tblHistory[[#This Row],[Score]]&gt;=70,tblHistory[[#This Row],[SOX S]]&gt;=0.83,tblHistory[[#This Row],[AIQ S]]&gt;=0.8),0)</f>
        <v/>
      </c>
      <c r="AA71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2">
      <c r="A712" s="42" t="n">
        <v>45289</v>
      </c>
      <c r="B712" s="43" t="n">
        <v>16825.9297</v>
      </c>
      <c r="C712" s="43" t="n">
        <v>4175.4702</v>
      </c>
      <c r="D712" s="43" t="n">
        <v>31.0713</v>
      </c>
      <c r="E712" s="43" t="n">
        <v>14.1817</v>
      </c>
      <c r="F712" s="44" t="n">
        <v>129</v>
      </c>
      <c r="G712" s="44" t="n">
        <v>851</v>
      </c>
      <c r="H712" s="43" t="n">
        <v>11.7686</v>
      </c>
      <c r="I712" s="43" t="n">
        <v>17.2233</v>
      </c>
      <c r="J712" s="44" t="n">
        <v>334</v>
      </c>
      <c r="K71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2" s="46">
        <f>(Dashboard!$C$13*tblHistory[[#This Row],[NDX S]]+Dashboard!$C$14*tblHistory[[#This Row],[SOX S]]+Dashboard!$C$15*tblHistory[[#This Row],[AIQ S]])/(Dashboard!$C$13+Dashboard!$C$14+Dashboard!$C$15)*100</f>
        <v/>
      </c>
      <c r="U712" s="46">
        <f>(Dashboard!$C$16*tblHistory[[#This Row],[DTCR S]]+Dashboard!$C$17*tblHistory[[#This Row],[BBB S]]+Dashboard!$C$18*tblHistory[[#This Row],[CCC S]])/(Dashboard!$C$16+Dashboard!$C$17+Dashboard!$C$18)*100</f>
        <v/>
      </c>
      <c r="V712" s="46">
        <f>(Dashboard!$C$19*tblHistory[[#This Row],[BIZD S]]+Dashboard!$C$20*tblHistory[[#This Row],[BKLN S]]+Dashboard!$C$21*tblHistory[[#This Row],[HY S]])/(Dashboard!$C$19+Dashboard!$C$20+Dashboard!$C$21)*100</f>
        <v/>
      </c>
      <c r="W71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2" s="46">
        <f>IFERROR(--(tblHistory[[#This Row],[Score]]&gt;=50),0)</f>
        <v/>
      </c>
      <c r="Y712" s="46">
        <f>IFERROR(--AND(tblHistory[[#This Row],[Score]]&gt;=60,OR(AND(tblHistory[[#This Row],[BIZD S]]&gt;=0.8,tblHistory[[#This Row],[BKLN S]]&gt;=0.5),tblHistory[[#This Row],[CCC S]]&gt;=0.8)),0)</f>
        <v/>
      </c>
      <c r="Z712" s="46">
        <f>IFERROR(--AND(tblHistory[[#This Row],[Score]]&gt;=70,tblHistory[[#This Row],[SOX S]]&gt;=0.83,tblHistory[[#This Row],[AIQ S]]&gt;=0.8),0)</f>
        <v/>
      </c>
      <c r="AA71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3">
      <c r="A713" s="42" t="n">
        <v>45288</v>
      </c>
      <c r="B713" s="43" t="n">
        <v>16898.4707</v>
      </c>
      <c r="C713" s="43" t="n">
        <v>4208.6802</v>
      </c>
      <c r="D713" s="43" t="n">
        <v>31.2407</v>
      </c>
      <c r="E713" s="43" t="n">
        <v>14.2301</v>
      </c>
      <c r="F713" s="44" t="n">
        <v>129</v>
      </c>
      <c r="G713" s="44" t="n">
        <v>857</v>
      </c>
      <c r="H713" s="43" t="n">
        <v>11.8639</v>
      </c>
      <c r="I713" s="43" t="n">
        <v>17.2233</v>
      </c>
      <c r="J713" s="44" t="n">
        <v>332</v>
      </c>
      <c r="K71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3" s="46">
        <f>(Dashboard!$C$13*tblHistory[[#This Row],[NDX S]]+Dashboard!$C$14*tblHistory[[#This Row],[SOX S]]+Dashboard!$C$15*tblHistory[[#This Row],[AIQ S]])/(Dashboard!$C$13+Dashboard!$C$14+Dashboard!$C$15)*100</f>
        <v/>
      </c>
      <c r="U713" s="46">
        <f>(Dashboard!$C$16*tblHistory[[#This Row],[DTCR S]]+Dashboard!$C$17*tblHistory[[#This Row],[BBB S]]+Dashboard!$C$18*tblHistory[[#This Row],[CCC S]])/(Dashboard!$C$16+Dashboard!$C$17+Dashboard!$C$18)*100</f>
        <v/>
      </c>
      <c r="V713" s="46">
        <f>(Dashboard!$C$19*tblHistory[[#This Row],[BIZD S]]+Dashboard!$C$20*tblHistory[[#This Row],[BKLN S]]+Dashboard!$C$21*tblHistory[[#This Row],[HY S]])/(Dashboard!$C$19+Dashboard!$C$20+Dashboard!$C$21)*100</f>
        <v/>
      </c>
      <c r="W71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3" s="46">
        <f>IFERROR(--(tblHistory[[#This Row],[Score]]&gt;=50),0)</f>
        <v/>
      </c>
      <c r="Y713" s="46">
        <f>IFERROR(--AND(tblHistory[[#This Row],[Score]]&gt;=60,OR(AND(tblHistory[[#This Row],[BIZD S]]&gt;=0.8,tblHistory[[#This Row],[BKLN S]]&gt;=0.5),tblHistory[[#This Row],[CCC S]]&gt;=0.8)),0)</f>
        <v/>
      </c>
      <c r="Z713" s="46">
        <f>IFERROR(--AND(tblHistory[[#This Row],[Score]]&gt;=70,tblHistory[[#This Row],[SOX S]]&gt;=0.83,tblHistory[[#This Row],[AIQ S]]&gt;=0.8),0)</f>
        <v/>
      </c>
      <c r="AA71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4">
      <c r="A714" s="42" t="n">
        <v>45287</v>
      </c>
      <c r="B714" s="43" t="n">
        <v>16906.8008</v>
      </c>
      <c r="C714" s="43" t="n">
        <v>4214.5898</v>
      </c>
      <c r="D714" s="43" t="n">
        <v>31.2317</v>
      </c>
      <c r="E714" s="43" t="n">
        <v>14.1566</v>
      </c>
      <c r="F714" s="44" t="n">
        <v>131</v>
      </c>
      <c r="G714" s="44" t="n">
        <v>862</v>
      </c>
      <c r="H714" s="43" t="n">
        <v>11.8419</v>
      </c>
      <c r="I714" s="43" t="n">
        <v>17.2558</v>
      </c>
      <c r="J714" s="44" t="n">
        <v>334</v>
      </c>
      <c r="K71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4" s="46">
        <f>(Dashboard!$C$13*tblHistory[[#This Row],[NDX S]]+Dashboard!$C$14*tblHistory[[#This Row],[SOX S]]+Dashboard!$C$15*tblHistory[[#This Row],[AIQ S]])/(Dashboard!$C$13+Dashboard!$C$14+Dashboard!$C$15)*100</f>
        <v/>
      </c>
      <c r="U714" s="46">
        <f>(Dashboard!$C$16*tblHistory[[#This Row],[DTCR S]]+Dashboard!$C$17*tblHistory[[#This Row],[BBB S]]+Dashboard!$C$18*tblHistory[[#This Row],[CCC S]])/(Dashboard!$C$16+Dashboard!$C$17+Dashboard!$C$18)*100</f>
        <v/>
      </c>
      <c r="V714" s="46">
        <f>(Dashboard!$C$19*tblHistory[[#This Row],[BIZD S]]+Dashboard!$C$20*tblHistory[[#This Row],[BKLN S]]+Dashboard!$C$21*tblHistory[[#This Row],[HY S]])/(Dashboard!$C$19+Dashboard!$C$20+Dashboard!$C$21)*100</f>
        <v/>
      </c>
      <c r="W71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4" s="46">
        <f>IFERROR(--(tblHistory[[#This Row],[Score]]&gt;=50),0)</f>
        <v/>
      </c>
      <c r="Y714" s="46">
        <f>IFERROR(--AND(tblHistory[[#This Row],[Score]]&gt;=60,OR(AND(tblHistory[[#This Row],[BIZD S]]&gt;=0.8,tblHistory[[#This Row],[BKLN S]]&gt;=0.5),tblHistory[[#This Row],[CCC S]]&gt;=0.8)),0)</f>
        <v/>
      </c>
      <c r="Z714" s="46">
        <f>IFERROR(--AND(tblHistory[[#This Row],[Score]]&gt;=70,tblHistory[[#This Row],[SOX S]]&gt;=0.83,tblHistory[[#This Row],[AIQ S]]&gt;=0.8),0)</f>
        <v/>
      </c>
      <c r="AA71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5">
      <c r="A715" s="42" t="n">
        <v>45286</v>
      </c>
      <c r="B715" s="43" t="n">
        <v>16878.4609</v>
      </c>
      <c r="C715" s="43" t="n">
        <v>4207.4502</v>
      </c>
      <c r="D715" s="43" t="n">
        <v>31.1222</v>
      </c>
      <c r="E715" s="43" t="n">
        <v>14.0989</v>
      </c>
      <c r="F715" s="44" t="n">
        <v>132</v>
      </c>
      <c r="G715" s="44" t="n">
        <v>866</v>
      </c>
      <c r="H715" s="43" t="n">
        <v>11.7847</v>
      </c>
      <c r="I715" s="43" t="n">
        <v>17.207</v>
      </c>
      <c r="J715" s="44" t="n">
        <v>337</v>
      </c>
      <c r="K71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5" s="46">
        <f>(Dashboard!$C$13*tblHistory[[#This Row],[NDX S]]+Dashboard!$C$14*tblHistory[[#This Row],[SOX S]]+Dashboard!$C$15*tblHistory[[#This Row],[AIQ S]])/(Dashboard!$C$13+Dashboard!$C$14+Dashboard!$C$15)*100</f>
        <v/>
      </c>
      <c r="U715" s="46">
        <f>(Dashboard!$C$16*tblHistory[[#This Row],[DTCR S]]+Dashboard!$C$17*tblHistory[[#This Row],[BBB S]]+Dashboard!$C$18*tblHistory[[#This Row],[CCC S]])/(Dashboard!$C$16+Dashboard!$C$17+Dashboard!$C$18)*100</f>
        <v/>
      </c>
      <c r="V715" s="46">
        <f>(Dashboard!$C$19*tblHistory[[#This Row],[BIZD S]]+Dashboard!$C$20*tblHistory[[#This Row],[BKLN S]]+Dashboard!$C$21*tblHistory[[#This Row],[HY S]])/(Dashboard!$C$19+Dashboard!$C$20+Dashboard!$C$21)*100</f>
        <v/>
      </c>
      <c r="W71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5" s="46">
        <f>IFERROR(--(tblHistory[[#This Row],[Score]]&gt;=50),0)</f>
        <v/>
      </c>
      <c r="Y715" s="46">
        <f>IFERROR(--AND(tblHistory[[#This Row],[Score]]&gt;=60,OR(AND(tblHistory[[#This Row],[BIZD S]]&gt;=0.8,tblHistory[[#This Row],[BKLN S]]&gt;=0.5),tblHistory[[#This Row],[CCC S]]&gt;=0.8)),0)</f>
        <v/>
      </c>
      <c r="Z715" s="46">
        <f>IFERROR(--AND(tblHistory[[#This Row],[Score]]&gt;=70,tblHistory[[#This Row],[SOX S]]&gt;=0.83,tblHistory[[#This Row],[AIQ S]]&gt;=0.8),0)</f>
        <v/>
      </c>
      <c r="AA71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6">
      <c r="A716" s="42" t="n">
        <v>45282</v>
      </c>
      <c r="B716" s="43" t="n">
        <v>16777.4004</v>
      </c>
      <c r="C716" s="43" t="n">
        <v>4132.8501</v>
      </c>
      <c r="D716" s="43" t="n">
        <v>30.8832</v>
      </c>
      <c r="E716" s="43" t="n">
        <v>13.9836</v>
      </c>
      <c r="F716" s="44" t="n">
        <v>133</v>
      </c>
      <c r="G716" s="44" t="n">
        <v>872</v>
      </c>
      <c r="H716" s="43" t="n">
        <v>11.7277</v>
      </c>
      <c r="I716" s="43" t="n">
        <v>17.207</v>
      </c>
      <c r="J716" s="44" t="n">
        <v>339</v>
      </c>
      <c r="K71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6" s="46">
        <f>(Dashboard!$C$13*tblHistory[[#This Row],[NDX S]]+Dashboard!$C$14*tblHistory[[#This Row],[SOX S]]+Dashboard!$C$15*tblHistory[[#This Row],[AIQ S]])/(Dashboard!$C$13+Dashboard!$C$14+Dashboard!$C$15)*100</f>
        <v/>
      </c>
      <c r="U716" s="46">
        <f>(Dashboard!$C$16*tblHistory[[#This Row],[DTCR S]]+Dashboard!$C$17*tblHistory[[#This Row],[BBB S]]+Dashboard!$C$18*tblHistory[[#This Row],[CCC S]])/(Dashboard!$C$16+Dashboard!$C$17+Dashboard!$C$18)*100</f>
        <v/>
      </c>
      <c r="V716" s="46">
        <f>(Dashboard!$C$19*tblHistory[[#This Row],[BIZD S]]+Dashboard!$C$20*tblHistory[[#This Row],[BKLN S]]+Dashboard!$C$21*tblHistory[[#This Row],[HY S]])/(Dashboard!$C$19+Dashboard!$C$20+Dashboard!$C$21)*100</f>
        <v/>
      </c>
      <c r="W71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6" s="46">
        <f>IFERROR(--(tblHistory[[#This Row],[Score]]&gt;=50),0)</f>
        <v/>
      </c>
      <c r="Y716" s="46">
        <f>IFERROR(--AND(tblHistory[[#This Row],[Score]]&gt;=60,OR(AND(tblHistory[[#This Row],[BIZD S]]&gt;=0.8,tblHistory[[#This Row],[BKLN S]]&gt;=0.5),tblHistory[[#This Row],[CCC S]]&gt;=0.8)),0)</f>
        <v/>
      </c>
      <c r="Z716" s="46">
        <f>IFERROR(--AND(tblHistory[[#This Row],[Score]]&gt;=70,tblHistory[[#This Row],[SOX S]]&gt;=0.83,tblHistory[[#This Row],[AIQ S]]&gt;=0.8),0)</f>
        <v/>
      </c>
      <c r="AA71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7">
      <c r="A717" s="42" t="n">
        <v>45281</v>
      </c>
      <c r="B717" s="43" t="n">
        <v>16757.4102</v>
      </c>
      <c r="C717" s="43" t="n">
        <v>4118.5898</v>
      </c>
      <c r="D717" s="43" t="n">
        <v>30.9628</v>
      </c>
      <c r="E717" s="43" t="n">
        <v>13.947</v>
      </c>
      <c r="F717" s="44" t="n">
        <v>133</v>
      </c>
      <c r="G717" s="44" t="n">
        <v>873</v>
      </c>
      <c r="H717" s="43" t="n">
        <v>11.6778</v>
      </c>
      <c r="I717" s="43" t="n">
        <v>17.1908</v>
      </c>
      <c r="J717" s="44" t="n">
        <v>341</v>
      </c>
      <c r="K71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7" s="46">
        <f>(Dashboard!$C$13*tblHistory[[#This Row],[NDX S]]+Dashboard!$C$14*tblHistory[[#This Row],[SOX S]]+Dashboard!$C$15*tblHistory[[#This Row],[AIQ S]])/(Dashboard!$C$13+Dashboard!$C$14+Dashboard!$C$15)*100</f>
        <v/>
      </c>
      <c r="U717" s="46">
        <f>(Dashboard!$C$16*tblHistory[[#This Row],[DTCR S]]+Dashboard!$C$17*tblHistory[[#This Row],[BBB S]]+Dashboard!$C$18*tblHistory[[#This Row],[CCC S]])/(Dashboard!$C$16+Dashboard!$C$17+Dashboard!$C$18)*100</f>
        <v/>
      </c>
      <c r="V717" s="46">
        <f>(Dashboard!$C$19*tblHistory[[#This Row],[BIZD S]]+Dashboard!$C$20*tblHistory[[#This Row],[BKLN S]]+Dashboard!$C$21*tblHistory[[#This Row],[HY S]])/(Dashboard!$C$19+Dashboard!$C$20+Dashboard!$C$21)*100</f>
        <v/>
      </c>
      <c r="W71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7" s="46">
        <f>IFERROR(--(tblHistory[[#This Row],[Score]]&gt;=50),0)</f>
        <v/>
      </c>
      <c r="Y717" s="46">
        <f>IFERROR(--AND(tblHistory[[#This Row],[Score]]&gt;=60,OR(AND(tblHistory[[#This Row],[BIZD S]]&gt;=0.8,tblHistory[[#This Row],[BKLN S]]&gt;=0.5),tblHistory[[#This Row],[CCC S]]&gt;=0.8)),0)</f>
        <v/>
      </c>
      <c r="Z717" s="46">
        <f>IFERROR(--AND(tblHistory[[#This Row],[Score]]&gt;=70,tblHistory[[#This Row],[SOX S]]&gt;=0.83,tblHistory[[#This Row],[AIQ S]]&gt;=0.8),0)</f>
        <v/>
      </c>
      <c r="AA71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8">
      <c r="A718" s="42" t="n">
        <v>45280</v>
      </c>
      <c r="B718" s="43" t="n">
        <v>16554.1602</v>
      </c>
      <c r="C718" s="43" t="n">
        <v>4007.6599</v>
      </c>
      <c r="D718" s="43" t="n">
        <v>30.4649</v>
      </c>
      <c r="E718" s="43" t="n">
        <v>13.7635</v>
      </c>
      <c r="F718" s="44" t="n">
        <v>133</v>
      </c>
      <c r="G718" s="44" t="n">
        <v>881</v>
      </c>
      <c r="H718" s="43" t="n">
        <v>11.6492</v>
      </c>
      <c r="I718" s="43" t="n">
        <v>17.1501</v>
      </c>
      <c r="J718" s="44" t="n">
        <v>343</v>
      </c>
      <c r="K71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8" s="46">
        <f>(Dashboard!$C$13*tblHistory[[#This Row],[NDX S]]+Dashboard!$C$14*tblHistory[[#This Row],[SOX S]]+Dashboard!$C$15*tblHistory[[#This Row],[AIQ S]])/(Dashboard!$C$13+Dashboard!$C$14+Dashboard!$C$15)*100</f>
        <v/>
      </c>
      <c r="U718" s="46">
        <f>(Dashboard!$C$16*tblHistory[[#This Row],[DTCR S]]+Dashboard!$C$17*tblHistory[[#This Row],[BBB S]]+Dashboard!$C$18*tblHistory[[#This Row],[CCC S]])/(Dashboard!$C$16+Dashboard!$C$17+Dashboard!$C$18)*100</f>
        <v/>
      </c>
      <c r="V718" s="46">
        <f>(Dashboard!$C$19*tblHistory[[#This Row],[BIZD S]]+Dashboard!$C$20*tblHistory[[#This Row],[BKLN S]]+Dashboard!$C$21*tblHistory[[#This Row],[HY S]])/(Dashboard!$C$19+Dashboard!$C$20+Dashboard!$C$21)*100</f>
        <v/>
      </c>
      <c r="W71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8" s="46">
        <f>IFERROR(--(tblHistory[[#This Row],[Score]]&gt;=50),0)</f>
        <v/>
      </c>
      <c r="Y718" s="46">
        <f>IFERROR(--AND(tblHistory[[#This Row],[Score]]&gt;=60,OR(AND(tblHistory[[#This Row],[BIZD S]]&gt;=0.8,tblHistory[[#This Row],[BKLN S]]&gt;=0.5),tblHistory[[#This Row],[CCC S]]&gt;=0.8)),0)</f>
        <v/>
      </c>
      <c r="Z718" s="46">
        <f>IFERROR(--AND(tblHistory[[#This Row],[Score]]&gt;=70,tblHistory[[#This Row],[SOX S]]&gt;=0.83,tblHistory[[#This Row],[AIQ S]]&gt;=0.8),0)</f>
        <v/>
      </c>
      <c r="AA71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19">
      <c r="A719" s="42" t="n">
        <v>45279</v>
      </c>
      <c r="B719" s="43" t="n">
        <v>16811.8496</v>
      </c>
      <c r="C719" s="43" t="n">
        <v>4125.5601</v>
      </c>
      <c r="D719" s="43" t="n">
        <v>30.913</v>
      </c>
      <c r="E719" s="43" t="n">
        <v>13.9643</v>
      </c>
      <c r="F719" s="44" t="n">
        <v>132</v>
      </c>
      <c r="G719" s="44" t="n">
        <v>895</v>
      </c>
      <c r="H719" s="43" t="n">
        <v>11.7348</v>
      </c>
      <c r="I719" s="43" t="n">
        <v>17.1582</v>
      </c>
      <c r="J719" s="44" t="n">
        <v>346</v>
      </c>
      <c r="K71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1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1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1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1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1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1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1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1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19" s="46">
        <f>(Dashboard!$C$13*tblHistory[[#This Row],[NDX S]]+Dashboard!$C$14*tblHistory[[#This Row],[SOX S]]+Dashboard!$C$15*tblHistory[[#This Row],[AIQ S]])/(Dashboard!$C$13+Dashboard!$C$14+Dashboard!$C$15)*100</f>
        <v/>
      </c>
      <c r="U719" s="46">
        <f>(Dashboard!$C$16*tblHistory[[#This Row],[DTCR S]]+Dashboard!$C$17*tblHistory[[#This Row],[BBB S]]+Dashboard!$C$18*tblHistory[[#This Row],[CCC S]])/(Dashboard!$C$16+Dashboard!$C$17+Dashboard!$C$18)*100</f>
        <v/>
      </c>
      <c r="V719" s="46">
        <f>(Dashboard!$C$19*tblHistory[[#This Row],[BIZD S]]+Dashboard!$C$20*tblHistory[[#This Row],[BKLN S]]+Dashboard!$C$21*tblHistory[[#This Row],[HY S]])/(Dashboard!$C$19+Dashboard!$C$20+Dashboard!$C$21)*100</f>
        <v/>
      </c>
      <c r="W71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19" s="46">
        <f>IFERROR(--(tblHistory[[#This Row],[Score]]&gt;=50),0)</f>
        <v/>
      </c>
      <c r="Y719" s="46">
        <f>IFERROR(--AND(tblHistory[[#This Row],[Score]]&gt;=60,OR(AND(tblHistory[[#This Row],[BIZD S]]&gt;=0.8,tblHistory[[#This Row],[BKLN S]]&gt;=0.5),tblHistory[[#This Row],[CCC S]]&gt;=0.8)),0)</f>
        <v/>
      </c>
      <c r="Z719" s="46">
        <f>IFERROR(--AND(tblHistory[[#This Row],[Score]]&gt;=70,tblHistory[[#This Row],[SOX S]]&gt;=0.83,tblHistory[[#This Row],[AIQ S]]&gt;=0.8),0)</f>
        <v/>
      </c>
      <c r="AA71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1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1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1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1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0">
      <c r="A720" s="42" t="n">
        <v>45278</v>
      </c>
      <c r="B720" s="43" t="n">
        <v>16729.8008</v>
      </c>
      <c r="C720" s="43" t="n">
        <v>4103.79</v>
      </c>
      <c r="D720" s="43" t="n">
        <v>30.674</v>
      </c>
      <c r="E720" s="43" t="n">
        <v>13.801</v>
      </c>
      <c r="F720" s="44" t="n">
        <v>131</v>
      </c>
      <c r="G720" s="44" t="n">
        <v>902</v>
      </c>
      <c r="H720" s="43" t="n">
        <v>11.6706</v>
      </c>
      <c r="I720" s="43" t="n">
        <v>17.1176</v>
      </c>
      <c r="J720" s="44" t="n">
        <v>351</v>
      </c>
      <c r="K72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0" s="46">
        <f>(Dashboard!$C$13*tblHistory[[#This Row],[NDX S]]+Dashboard!$C$14*tblHistory[[#This Row],[SOX S]]+Dashboard!$C$15*tblHistory[[#This Row],[AIQ S]])/(Dashboard!$C$13+Dashboard!$C$14+Dashboard!$C$15)*100</f>
        <v/>
      </c>
      <c r="U720" s="46">
        <f>(Dashboard!$C$16*tblHistory[[#This Row],[DTCR S]]+Dashboard!$C$17*tblHistory[[#This Row],[BBB S]]+Dashboard!$C$18*tblHistory[[#This Row],[CCC S]])/(Dashboard!$C$16+Dashboard!$C$17+Dashboard!$C$18)*100</f>
        <v/>
      </c>
      <c r="V720" s="46">
        <f>(Dashboard!$C$19*tblHistory[[#This Row],[BIZD S]]+Dashboard!$C$20*tblHistory[[#This Row],[BKLN S]]+Dashboard!$C$21*tblHistory[[#This Row],[HY S]])/(Dashboard!$C$19+Dashboard!$C$20+Dashboard!$C$21)*100</f>
        <v/>
      </c>
      <c r="W72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0" s="46">
        <f>IFERROR(--(tblHistory[[#This Row],[Score]]&gt;=50),0)</f>
        <v/>
      </c>
      <c r="Y720" s="46">
        <f>IFERROR(--AND(tblHistory[[#This Row],[Score]]&gt;=60,OR(AND(tblHistory[[#This Row],[BIZD S]]&gt;=0.8,tblHistory[[#This Row],[BKLN S]]&gt;=0.5),tblHistory[[#This Row],[CCC S]]&gt;=0.8)),0)</f>
        <v/>
      </c>
      <c r="Z720" s="46">
        <f>IFERROR(--AND(tblHistory[[#This Row],[Score]]&gt;=70,tblHistory[[#This Row],[SOX S]]&gt;=0.83,tblHistory[[#This Row],[AIQ S]]&gt;=0.8),0)</f>
        <v/>
      </c>
      <c r="AA72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1">
      <c r="A721" s="42" t="n">
        <v>45275</v>
      </c>
      <c r="B721" s="43" t="n">
        <v>16623.4492</v>
      </c>
      <c r="C721" s="43" t="n">
        <v>4117</v>
      </c>
      <c r="D721" s="43" t="n">
        <v>30.5147</v>
      </c>
      <c r="E721" s="43" t="n">
        <v>13.8577</v>
      </c>
      <c r="F721" s="44" t="n">
        <v>131</v>
      </c>
      <c r="G721" s="44" t="n">
        <v>904</v>
      </c>
      <c r="H721" s="43" t="n">
        <v>11.6207</v>
      </c>
      <c r="I721" s="43" t="n">
        <v>17.0794</v>
      </c>
      <c r="J721" s="44" t="n">
        <v>351</v>
      </c>
      <c r="K72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1" s="46">
        <f>(Dashboard!$C$13*tblHistory[[#This Row],[NDX S]]+Dashboard!$C$14*tblHistory[[#This Row],[SOX S]]+Dashboard!$C$15*tblHistory[[#This Row],[AIQ S]])/(Dashboard!$C$13+Dashboard!$C$14+Dashboard!$C$15)*100</f>
        <v/>
      </c>
      <c r="U721" s="46">
        <f>(Dashboard!$C$16*tblHistory[[#This Row],[DTCR S]]+Dashboard!$C$17*tblHistory[[#This Row],[BBB S]]+Dashboard!$C$18*tblHistory[[#This Row],[CCC S]])/(Dashboard!$C$16+Dashboard!$C$17+Dashboard!$C$18)*100</f>
        <v/>
      </c>
      <c r="V721" s="46">
        <f>(Dashboard!$C$19*tblHistory[[#This Row],[BIZD S]]+Dashboard!$C$20*tblHistory[[#This Row],[BKLN S]]+Dashboard!$C$21*tblHistory[[#This Row],[HY S]])/(Dashboard!$C$19+Dashboard!$C$20+Dashboard!$C$21)*100</f>
        <v/>
      </c>
      <c r="W72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1" s="46">
        <f>IFERROR(--(tblHistory[[#This Row],[Score]]&gt;=50),0)</f>
        <v/>
      </c>
      <c r="Y721" s="46">
        <f>IFERROR(--AND(tblHistory[[#This Row],[Score]]&gt;=60,OR(AND(tblHistory[[#This Row],[BIZD S]]&gt;=0.8,tblHistory[[#This Row],[BKLN S]]&gt;=0.5),tblHistory[[#This Row],[CCC S]]&gt;=0.8)),0)</f>
        <v/>
      </c>
      <c r="Z721" s="46">
        <f>IFERROR(--AND(tblHistory[[#This Row],[Score]]&gt;=70,tblHistory[[#This Row],[SOX S]]&gt;=0.83,tblHistory[[#This Row],[AIQ S]]&gt;=0.8),0)</f>
        <v/>
      </c>
      <c r="AA72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2">
      <c r="A722" s="42" t="n">
        <v>45274</v>
      </c>
      <c r="B722" s="43" t="n">
        <v>16537.8301</v>
      </c>
      <c r="C722" s="43" t="n">
        <v>4097.4702</v>
      </c>
      <c r="D722" s="43" t="n">
        <v>30.4151</v>
      </c>
      <c r="E722" s="43" t="n">
        <v>13.9576</v>
      </c>
      <c r="F722" s="44" t="n">
        <v>131</v>
      </c>
      <c r="G722" s="44" t="n">
        <v>903</v>
      </c>
      <c r="H722" s="43" t="n">
        <v>11.6564</v>
      </c>
      <c r="I722" s="43" t="n">
        <v>17.0632</v>
      </c>
      <c r="J722" s="44" t="n">
        <v>347</v>
      </c>
      <c r="K72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2" s="46">
        <f>(Dashboard!$C$13*tblHistory[[#This Row],[NDX S]]+Dashboard!$C$14*tblHistory[[#This Row],[SOX S]]+Dashboard!$C$15*tblHistory[[#This Row],[AIQ S]])/(Dashboard!$C$13+Dashboard!$C$14+Dashboard!$C$15)*100</f>
        <v/>
      </c>
      <c r="U722" s="46">
        <f>(Dashboard!$C$16*tblHistory[[#This Row],[DTCR S]]+Dashboard!$C$17*tblHistory[[#This Row],[BBB S]]+Dashboard!$C$18*tblHistory[[#This Row],[CCC S]])/(Dashboard!$C$16+Dashboard!$C$17+Dashboard!$C$18)*100</f>
        <v/>
      </c>
      <c r="V722" s="46">
        <f>(Dashboard!$C$19*tblHistory[[#This Row],[BIZD S]]+Dashboard!$C$20*tblHistory[[#This Row],[BKLN S]]+Dashboard!$C$21*tblHistory[[#This Row],[HY S]])/(Dashboard!$C$19+Dashboard!$C$20+Dashboard!$C$21)*100</f>
        <v/>
      </c>
      <c r="W72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2" s="46">
        <f>IFERROR(--(tblHistory[[#This Row],[Score]]&gt;=50),0)</f>
        <v/>
      </c>
      <c r="Y722" s="46">
        <f>IFERROR(--AND(tblHistory[[#This Row],[Score]]&gt;=60,OR(AND(tblHistory[[#This Row],[BIZD S]]&gt;=0.8,tblHistory[[#This Row],[BKLN S]]&gt;=0.5),tblHistory[[#This Row],[CCC S]]&gt;=0.8)),0)</f>
        <v/>
      </c>
      <c r="Z722" s="46">
        <f>IFERROR(--AND(tblHistory[[#This Row],[Score]]&gt;=70,tblHistory[[#This Row],[SOX S]]&gt;=0.83,tblHistory[[#This Row],[AIQ S]]&gt;=0.8),0)</f>
        <v/>
      </c>
      <c r="AA72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3">
      <c r="A723" s="42" t="n">
        <v>45273</v>
      </c>
      <c r="B723" s="43" t="n">
        <v>16562.3691</v>
      </c>
      <c r="C723" s="43" t="n">
        <v>3990.95</v>
      </c>
      <c r="D723" s="43" t="n">
        <v>30.3354</v>
      </c>
      <c r="E723" s="43" t="n">
        <v>13.8394</v>
      </c>
      <c r="F723" s="44" t="n">
        <v>135</v>
      </c>
      <c r="G723" s="44" t="n">
        <v>953</v>
      </c>
      <c r="H723" s="43" t="n">
        <v>11.5922</v>
      </c>
      <c r="I723" s="43" t="n">
        <v>16.9905</v>
      </c>
      <c r="J723" s="44" t="n">
        <v>379</v>
      </c>
      <c r="K72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3" s="46">
        <f>(Dashboard!$C$13*tblHistory[[#This Row],[NDX S]]+Dashboard!$C$14*tblHistory[[#This Row],[SOX S]]+Dashboard!$C$15*tblHistory[[#This Row],[AIQ S]])/(Dashboard!$C$13+Dashboard!$C$14+Dashboard!$C$15)*100</f>
        <v/>
      </c>
      <c r="U723" s="46">
        <f>(Dashboard!$C$16*tblHistory[[#This Row],[DTCR S]]+Dashboard!$C$17*tblHistory[[#This Row],[BBB S]]+Dashboard!$C$18*tblHistory[[#This Row],[CCC S]])/(Dashboard!$C$16+Dashboard!$C$17+Dashboard!$C$18)*100</f>
        <v/>
      </c>
      <c r="V723" s="46">
        <f>(Dashboard!$C$19*tblHistory[[#This Row],[BIZD S]]+Dashboard!$C$20*tblHistory[[#This Row],[BKLN S]]+Dashboard!$C$21*tblHistory[[#This Row],[HY S]])/(Dashboard!$C$19+Dashboard!$C$20+Dashboard!$C$21)*100</f>
        <v/>
      </c>
      <c r="W72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3" s="46">
        <f>IFERROR(--(tblHistory[[#This Row],[Score]]&gt;=50),0)</f>
        <v/>
      </c>
      <c r="Y723" s="46">
        <f>IFERROR(--AND(tblHistory[[#This Row],[Score]]&gt;=60,OR(AND(tblHistory[[#This Row],[BIZD S]]&gt;=0.8,tblHistory[[#This Row],[BKLN S]]&gt;=0.5),tblHistory[[#This Row],[CCC S]]&gt;=0.8)),0)</f>
        <v/>
      </c>
      <c r="Z723" s="46">
        <f>IFERROR(--AND(tblHistory[[#This Row],[Score]]&gt;=70,tblHistory[[#This Row],[SOX S]]&gt;=0.83,tblHistory[[#This Row],[AIQ S]]&gt;=0.8),0)</f>
        <v/>
      </c>
      <c r="AA72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4">
      <c r="A724" s="42" t="n">
        <v>45272</v>
      </c>
      <c r="B724" s="43" t="n">
        <v>16354.25</v>
      </c>
      <c r="C724" s="43" t="n">
        <v>3930.1799</v>
      </c>
      <c r="D724" s="43" t="n">
        <v>30.0466</v>
      </c>
      <c r="E724" s="43" t="n">
        <v>13.5511</v>
      </c>
      <c r="F724" s="44" t="n">
        <v>136</v>
      </c>
      <c r="G724" s="44" t="n">
        <v>954</v>
      </c>
      <c r="H724" s="43" t="n">
        <v>11.528</v>
      </c>
      <c r="I724" s="43" t="n">
        <v>16.9744</v>
      </c>
      <c r="J724" s="44" t="n">
        <v>376</v>
      </c>
      <c r="K72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4" s="46">
        <f>(Dashboard!$C$13*tblHistory[[#This Row],[NDX S]]+Dashboard!$C$14*tblHistory[[#This Row],[SOX S]]+Dashboard!$C$15*tblHistory[[#This Row],[AIQ S]])/(Dashboard!$C$13+Dashboard!$C$14+Dashboard!$C$15)*100</f>
        <v/>
      </c>
      <c r="U724" s="46">
        <f>(Dashboard!$C$16*tblHistory[[#This Row],[DTCR S]]+Dashboard!$C$17*tblHistory[[#This Row],[BBB S]]+Dashboard!$C$18*tblHistory[[#This Row],[CCC S]])/(Dashboard!$C$16+Dashboard!$C$17+Dashboard!$C$18)*100</f>
        <v/>
      </c>
      <c r="V724" s="46">
        <f>(Dashboard!$C$19*tblHistory[[#This Row],[BIZD S]]+Dashboard!$C$20*tblHistory[[#This Row],[BKLN S]]+Dashboard!$C$21*tblHistory[[#This Row],[HY S]])/(Dashboard!$C$19+Dashboard!$C$20+Dashboard!$C$21)*100</f>
        <v/>
      </c>
      <c r="W72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4" s="46">
        <f>IFERROR(--(tblHistory[[#This Row],[Score]]&gt;=50),0)</f>
        <v/>
      </c>
      <c r="Y724" s="46">
        <f>IFERROR(--AND(tblHistory[[#This Row],[Score]]&gt;=60,OR(AND(tblHistory[[#This Row],[BIZD S]]&gt;=0.8,tblHistory[[#This Row],[BKLN S]]&gt;=0.5),tblHistory[[#This Row],[CCC S]]&gt;=0.8)),0)</f>
        <v/>
      </c>
      <c r="Z724" s="46">
        <f>IFERROR(--AND(tblHistory[[#This Row],[Score]]&gt;=70,tblHistory[[#This Row],[SOX S]]&gt;=0.83,tblHistory[[#This Row],[AIQ S]]&gt;=0.8),0)</f>
        <v/>
      </c>
      <c r="AA72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5">
      <c r="A725" s="42" t="n">
        <v>45271</v>
      </c>
      <c r="B725" s="43" t="n">
        <v>16221.7305</v>
      </c>
      <c r="C725" s="43" t="n">
        <v>3902.3899</v>
      </c>
      <c r="D725" s="43" t="n">
        <v>29.9968</v>
      </c>
      <c r="E725" s="43" t="n">
        <v>13.5991</v>
      </c>
      <c r="F725" s="44" t="n">
        <v>138</v>
      </c>
      <c r="G725" s="44" t="n">
        <v>962</v>
      </c>
      <c r="H725" s="43" t="n">
        <v>11.4496</v>
      </c>
      <c r="I725" s="43" t="n">
        <v>16.9582</v>
      </c>
      <c r="J725" s="44" t="n">
        <v>379</v>
      </c>
      <c r="K72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5" s="46">
        <f>(Dashboard!$C$13*tblHistory[[#This Row],[NDX S]]+Dashboard!$C$14*tblHistory[[#This Row],[SOX S]]+Dashboard!$C$15*tblHistory[[#This Row],[AIQ S]])/(Dashboard!$C$13+Dashboard!$C$14+Dashboard!$C$15)*100</f>
        <v/>
      </c>
      <c r="U725" s="46">
        <f>(Dashboard!$C$16*tblHistory[[#This Row],[DTCR S]]+Dashboard!$C$17*tblHistory[[#This Row],[BBB S]]+Dashboard!$C$18*tblHistory[[#This Row],[CCC S]])/(Dashboard!$C$16+Dashboard!$C$17+Dashboard!$C$18)*100</f>
        <v/>
      </c>
      <c r="V725" s="46">
        <f>(Dashboard!$C$19*tblHistory[[#This Row],[BIZD S]]+Dashboard!$C$20*tblHistory[[#This Row],[BKLN S]]+Dashboard!$C$21*tblHistory[[#This Row],[HY S]])/(Dashboard!$C$19+Dashboard!$C$20+Dashboard!$C$21)*100</f>
        <v/>
      </c>
      <c r="W72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5" s="46">
        <f>IFERROR(--(tblHistory[[#This Row],[Score]]&gt;=50),0)</f>
        <v/>
      </c>
      <c r="Y725" s="46">
        <f>IFERROR(--AND(tblHistory[[#This Row],[Score]]&gt;=60,OR(AND(tblHistory[[#This Row],[BIZD S]]&gt;=0.8,tblHistory[[#This Row],[BKLN S]]&gt;=0.5),tblHistory[[#This Row],[CCC S]]&gt;=0.8)),0)</f>
        <v/>
      </c>
      <c r="Z725" s="46">
        <f>IFERROR(--AND(tblHistory[[#This Row],[Score]]&gt;=70,tblHistory[[#This Row],[SOX S]]&gt;=0.83,tblHistory[[#This Row],[AIQ S]]&gt;=0.8),0)</f>
        <v/>
      </c>
      <c r="AA72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6">
      <c r="A726" s="42" t="n">
        <v>45268</v>
      </c>
      <c r="B726" s="43" t="n">
        <v>16084.6904</v>
      </c>
      <c r="C726" s="43" t="n">
        <v>3774.1699</v>
      </c>
      <c r="D726" s="43" t="n">
        <v>29.7677</v>
      </c>
      <c r="E726" s="43" t="n">
        <v>13.5703</v>
      </c>
      <c r="F726" s="44" t="n">
        <v>138</v>
      </c>
      <c r="G726" s="44" t="n">
        <v>955</v>
      </c>
      <c r="H726" s="43" t="n">
        <v>11.4853</v>
      </c>
      <c r="I726" s="43" t="n">
        <v>16.9502</v>
      </c>
      <c r="J726" s="44" t="n">
        <v>375</v>
      </c>
      <c r="K72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6" s="46">
        <f>(Dashboard!$C$13*tblHistory[[#This Row],[NDX S]]+Dashboard!$C$14*tblHistory[[#This Row],[SOX S]]+Dashboard!$C$15*tblHistory[[#This Row],[AIQ S]])/(Dashboard!$C$13+Dashboard!$C$14+Dashboard!$C$15)*100</f>
        <v/>
      </c>
      <c r="U726" s="46">
        <f>(Dashboard!$C$16*tblHistory[[#This Row],[DTCR S]]+Dashboard!$C$17*tblHistory[[#This Row],[BBB S]]+Dashboard!$C$18*tblHistory[[#This Row],[CCC S]])/(Dashboard!$C$16+Dashboard!$C$17+Dashboard!$C$18)*100</f>
        <v/>
      </c>
      <c r="V726" s="46">
        <f>(Dashboard!$C$19*tblHistory[[#This Row],[BIZD S]]+Dashboard!$C$20*tblHistory[[#This Row],[BKLN S]]+Dashboard!$C$21*tblHistory[[#This Row],[HY S]])/(Dashboard!$C$19+Dashboard!$C$20+Dashboard!$C$21)*100</f>
        <v/>
      </c>
      <c r="W72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6" s="46">
        <f>IFERROR(--(tblHistory[[#This Row],[Score]]&gt;=50),0)</f>
        <v/>
      </c>
      <c r="Y726" s="46">
        <f>IFERROR(--AND(tblHistory[[#This Row],[Score]]&gt;=60,OR(AND(tblHistory[[#This Row],[BIZD S]]&gt;=0.8,tblHistory[[#This Row],[BKLN S]]&gt;=0.5),tblHistory[[#This Row],[CCC S]]&gt;=0.8)),0)</f>
        <v/>
      </c>
      <c r="Z726" s="46">
        <f>IFERROR(--AND(tblHistory[[#This Row],[Score]]&gt;=70,tblHistory[[#This Row],[SOX S]]&gt;=0.83,tblHistory[[#This Row],[AIQ S]]&gt;=0.8),0)</f>
        <v/>
      </c>
      <c r="AA72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7">
      <c r="A727" s="42" t="n">
        <v>45267</v>
      </c>
      <c r="B727" s="43" t="n">
        <v>16022.4902</v>
      </c>
      <c r="C727" s="43" t="n">
        <v>3747.54</v>
      </c>
      <c r="D727" s="43" t="n">
        <v>29.5984</v>
      </c>
      <c r="E727" s="43" t="n">
        <v>13.6366</v>
      </c>
      <c r="F727" s="44" t="n">
        <v>139</v>
      </c>
      <c r="G727" s="44" t="n">
        <v>960</v>
      </c>
      <c r="H727" s="43" t="n">
        <v>11.3855</v>
      </c>
      <c r="I727" s="43" t="n">
        <v>16.9421</v>
      </c>
      <c r="J727" s="44" t="n">
        <v>377</v>
      </c>
      <c r="K72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7" s="46">
        <f>(Dashboard!$C$13*tblHistory[[#This Row],[NDX S]]+Dashboard!$C$14*tblHistory[[#This Row],[SOX S]]+Dashboard!$C$15*tblHistory[[#This Row],[AIQ S]])/(Dashboard!$C$13+Dashboard!$C$14+Dashboard!$C$15)*100</f>
        <v/>
      </c>
      <c r="U727" s="46">
        <f>(Dashboard!$C$16*tblHistory[[#This Row],[DTCR S]]+Dashboard!$C$17*tblHistory[[#This Row],[BBB S]]+Dashboard!$C$18*tblHistory[[#This Row],[CCC S]])/(Dashboard!$C$16+Dashboard!$C$17+Dashboard!$C$18)*100</f>
        <v/>
      </c>
      <c r="V727" s="46">
        <f>(Dashboard!$C$19*tblHistory[[#This Row],[BIZD S]]+Dashboard!$C$20*tblHistory[[#This Row],[BKLN S]]+Dashboard!$C$21*tblHistory[[#This Row],[HY S]])/(Dashboard!$C$19+Dashboard!$C$20+Dashboard!$C$21)*100</f>
        <v/>
      </c>
      <c r="W72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7" s="46">
        <f>IFERROR(--(tblHistory[[#This Row],[Score]]&gt;=50),0)</f>
        <v/>
      </c>
      <c r="Y727" s="46">
        <f>IFERROR(--AND(tblHistory[[#This Row],[Score]]&gt;=60,OR(AND(tblHistory[[#This Row],[BIZD S]]&gt;=0.8,tblHistory[[#This Row],[BKLN S]]&gt;=0.5),tblHistory[[#This Row],[CCC S]]&gt;=0.8)),0)</f>
        <v/>
      </c>
      <c r="Z727" s="46">
        <f>IFERROR(--AND(tblHistory[[#This Row],[Score]]&gt;=70,tblHistory[[#This Row],[SOX S]]&gt;=0.83,tblHistory[[#This Row],[AIQ S]]&gt;=0.8),0)</f>
        <v/>
      </c>
      <c r="AA72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8">
      <c r="A728" s="42" t="n">
        <v>45266</v>
      </c>
      <c r="B728" s="43" t="n">
        <v>15788.0498</v>
      </c>
      <c r="C728" s="43" t="n">
        <v>3645.8201</v>
      </c>
      <c r="D728" s="43" t="n">
        <v>29.2499</v>
      </c>
      <c r="E728" s="43" t="n">
        <v>13.5703</v>
      </c>
      <c r="F728" s="44" t="n">
        <v>140</v>
      </c>
      <c r="G728" s="44" t="n">
        <v>961</v>
      </c>
      <c r="H728" s="43" t="n">
        <v>11.2785</v>
      </c>
      <c r="I728" s="43" t="n">
        <v>16.9098</v>
      </c>
      <c r="J728" s="44" t="n">
        <v>379</v>
      </c>
      <c r="K72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8" s="46">
        <f>(Dashboard!$C$13*tblHistory[[#This Row],[NDX S]]+Dashboard!$C$14*tblHistory[[#This Row],[SOX S]]+Dashboard!$C$15*tblHistory[[#This Row],[AIQ S]])/(Dashboard!$C$13+Dashboard!$C$14+Dashboard!$C$15)*100</f>
        <v/>
      </c>
      <c r="U728" s="46">
        <f>(Dashboard!$C$16*tblHistory[[#This Row],[DTCR S]]+Dashboard!$C$17*tblHistory[[#This Row],[BBB S]]+Dashboard!$C$18*tblHistory[[#This Row],[CCC S]])/(Dashboard!$C$16+Dashboard!$C$17+Dashboard!$C$18)*100</f>
        <v/>
      </c>
      <c r="V728" s="46">
        <f>(Dashboard!$C$19*tblHistory[[#This Row],[BIZD S]]+Dashboard!$C$20*tblHistory[[#This Row],[BKLN S]]+Dashboard!$C$21*tblHistory[[#This Row],[HY S]])/(Dashboard!$C$19+Dashboard!$C$20+Dashboard!$C$21)*100</f>
        <v/>
      </c>
      <c r="W72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8" s="46">
        <f>IFERROR(--(tblHistory[[#This Row],[Score]]&gt;=50),0)</f>
        <v/>
      </c>
      <c r="Y728" s="46">
        <f>IFERROR(--AND(tblHistory[[#This Row],[Score]]&gt;=60,OR(AND(tblHistory[[#This Row],[BIZD S]]&gt;=0.8,tblHistory[[#This Row],[BKLN S]]&gt;=0.5),tblHistory[[#This Row],[CCC S]]&gt;=0.8)),0)</f>
        <v/>
      </c>
      <c r="Z728" s="46">
        <f>IFERROR(--AND(tblHistory[[#This Row],[Score]]&gt;=70,tblHistory[[#This Row],[SOX S]]&gt;=0.83,tblHistory[[#This Row],[AIQ S]]&gt;=0.8),0)</f>
        <v/>
      </c>
      <c r="AA72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29">
      <c r="A729" s="42" t="n">
        <v>45265</v>
      </c>
      <c r="B729" s="43" t="n">
        <v>15877.71</v>
      </c>
      <c r="C729" s="43" t="n">
        <v>3672.3999</v>
      </c>
      <c r="D729" s="43" t="n">
        <v>29.4291</v>
      </c>
      <c r="E729" s="43" t="n">
        <v>13.7241</v>
      </c>
      <c r="F729" s="44" t="n">
        <v>139</v>
      </c>
      <c r="G729" s="44" t="n">
        <v>965</v>
      </c>
      <c r="H729" s="43" t="n">
        <v>11.307</v>
      </c>
      <c r="I729" s="43" t="n">
        <v>16.9179</v>
      </c>
      <c r="J729" s="44" t="n">
        <v>380</v>
      </c>
      <c r="K72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2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2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2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2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2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2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2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2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29" s="46">
        <f>(Dashboard!$C$13*tblHistory[[#This Row],[NDX S]]+Dashboard!$C$14*tblHistory[[#This Row],[SOX S]]+Dashboard!$C$15*tblHistory[[#This Row],[AIQ S]])/(Dashboard!$C$13+Dashboard!$C$14+Dashboard!$C$15)*100</f>
        <v/>
      </c>
      <c r="U729" s="46">
        <f>(Dashboard!$C$16*tblHistory[[#This Row],[DTCR S]]+Dashboard!$C$17*tblHistory[[#This Row],[BBB S]]+Dashboard!$C$18*tblHistory[[#This Row],[CCC S]])/(Dashboard!$C$16+Dashboard!$C$17+Dashboard!$C$18)*100</f>
        <v/>
      </c>
      <c r="V729" s="46">
        <f>(Dashboard!$C$19*tblHistory[[#This Row],[BIZD S]]+Dashboard!$C$20*tblHistory[[#This Row],[BKLN S]]+Dashboard!$C$21*tblHistory[[#This Row],[HY S]])/(Dashboard!$C$19+Dashboard!$C$20+Dashboard!$C$21)*100</f>
        <v/>
      </c>
      <c r="W72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29" s="46">
        <f>IFERROR(--(tblHistory[[#This Row],[Score]]&gt;=50),0)</f>
        <v/>
      </c>
      <c r="Y729" s="46">
        <f>IFERROR(--AND(tblHistory[[#This Row],[Score]]&gt;=60,OR(AND(tblHistory[[#This Row],[BIZD S]]&gt;=0.8,tblHistory[[#This Row],[BKLN S]]&gt;=0.5),tblHistory[[#This Row],[CCC S]]&gt;=0.8)),0)</f>
        <v/>
      </c>
      <c r="Z729" s="46">
        <f>IFERROR(--AND(tblHistory[[#This Row],[Score]]&gt;=70,tblHistory[[#This Row],[SOX S]]&gt;=0.83,tblHistory[[#This Row],[AIQ S]]&gt;=0.8),0)</f>
        <v/>
      </c>
      <c r="AA72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2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2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2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2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0">
      <c r="A730" s="42" t="n">
        <v>45264</v>
      </c>
      <c r="B730" s="43" t="n">
        <v>15839.6699</v>
      </c>
      <c r="C730" s="43" t="n">
        <v>3693.4399</v>
      </c>
      <c r="D730" s="43" t="n">
        <v>29.4391</v>
      </c>
      <c r="E730" s="43" t="n">
        <v>13.7577</v>
      </c>
      <c r="F730" s="44" t="n">
        <v>138</v>
      </c>
      <c r="G730" s="44" t="n">
        <v>973</v>
      </c>
      <c r="H730" s="43" t="n">
        <v>11.3641</v>
      </c>
      <c r="I730" s="43" t="n">
        <v>16.8856</v>
      </c>
      <c r="J730" s="44" t="n">
        <v>380</v>
      </c>
      <c r="K73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0" s="46">
        <f>(Dashboard!$C$13*tblHistory[[#This Row],[NDX S]]+Dashboard!$C$14*tblHistory[[#This Row],[SOX S]]+Dashboard!$C$15*tblHistory[[#This Row],[AIQ S]])/(Dashboard!$C$13+Dashboard!$C$14+Dashboard!$C$15)*100</f>
        <v/>
      </c>
      <c r="U730" s="46">
        <f>(Dashboard!$C$16*tblHistory[[#This Row],[DTCR S]]+Dashboard!$C$17*tblHistory[[#This Row],[BBB S]]+Dashboard!$C$18*tblHistory[[#This Row],[CCC S]])/(Dashboard!$C$16+Dashboard!$C$17+Dashboard!$C$18)*100</f>
        <v/>
      </c>
      <c r="V730" s="46">
        <f>(Dashboard!$C$19*tblHistory[[#This Row],[BIZD S]]+Dashboard!$C$20*tblHistory[[#This Row],[BKLN S]]+Dashboard!$C$21*tblHistory[[#This Row],[HY S]])/(Dashboard!$C$19+Dashboard!$C$20+Dashboard!$C$21)*100</f>
        <v/>
      </c>
      <c r="W73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0" s="46">
        <f>IFERROR(--(tblHistory[[#This Row],[Score]]&gt;=50),0)</f>
        <v/>
      </c>
      <c r="Y730" s="46">
        <f>IFERROR(--AND(tblHistory[[#This Row],[Score]]&gt;=60,OR(AND(tblHistory[[#This Row],[BIZD S]]&gt;=0.8,tblHistory[[#This Row],[BKLN S]]&gt;=0.5),tblHistory[[#This Row],[CCC S]]&gt;=0.8)),0)</f>
        <v/>
      </c>
      <c r="Z730" s="46">
        <f>IFERROR(--AND(tblHistory[[#This Row],[Score]]&gt;=70,tblHistory[[#This Row],[SOX S]]&gt;=0.83,tblHistory[[#This Row],[AIQ S]]&gt;=0.8),0)</f>
        <v/>
      </c>
      <c r="AA73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1">
      <c r="A731" s="42" t="n">
        <v>45261</v>
      </c>
      <c r="B731" s="43" t="n">
        <v>15997.5801</v>
      </c>
      <c r="C731" s="43" t="n">
        <v>3738.27</v>
      </c>
      <c r="D731" s="43" t="n">
        <v>29.7777</v>
      </c>
      <c r="E731" s="43" t="n">
        <v>13.8298</v>
      </c>
      <c r="F731" s="44" t="n">
        <v>139</v>
      </c>
      <c r="G731" s="44" t="n">
        <v>979</v>
      </c>
      <c r="H731" s="43" t="n">
        <v>11.3569</v>
      </c>
      <c r="I731" s="43" t="n">
        <v>16.8775</v>
      </c>
      <c r="J731" s="44" t="n">
        <v>387</v>
      </c>
      <c r="K73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1" s="46">
        <f>(Dashboard!$C$13*tblHistory[[#This Row],[NDX S]]+Dashboard!$C$14*tblHistory[[#This Row],[SOX S]]+Dashboard!$C$15*tblHistory[[#This Row],[AIQ S]])/(Dashboard!$C$13+Dashboard!$C$14+Dashboard!$C$15)*100</f>
        <v/>
      </c>
      <c r="U731" s="46">
        <f>(Dashboard!$C$16*tblHistory[[#This Row],[DTCR S]]+Dashboard!$C$17*tblHistory[[#This Row],[BBB S]]+Dashboard!$C$18*tblHistory[[#This Row],[CCC S]])/(Dashboard!$C$16+Dashboard!$C$17+Dashboard!$C$18)*100</f>
        <v/>
      </c>
      <c r="V731" s="46">
        <f>(Dashboard!$C$19*tblHistory[[#This Row],[BIZD S]]+Dashboard!$C$20*tblHistory[[#This Row],[BKLN S]]+Dashboard!$C$21*tblHistory[[#This Row],[HY S]])/(Dashboard!$C$19+Dashboard!$C$20+Dashboard!$C$21)*100</f>
        <v/>
      </c>
      <c r="W73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1" s="46">
        <f>IFERROR(--(tblHistory[[#This Row],[Score]]&gt;=50),0)</f>
        <v/>
      </c>
      <c r="Y731" s="46">
        <f>IFERROR(--AND(tblHistory[[#This Row],[Score]]&gt;=60,OR(AND(tblHistory[[#This Row],[BIZD S]]&gt;=0.8,tblHistory[[#This Row],[BKLN S]]&gt;=0.5),tblHistory[[#This Row],[CCC S]]&gt;=0.8)),0)</f>
        <v/>
      </c>
      <c r="Z731" s="46">
        <f>IFERROR(--AND(tblHistory[[#This Row],[Score]]&gt;=70,tblHistory[[#This Row],[SOX S]]&gt;=0.83,tblHistory[[#This Row],[AIQ S]]&gt;=0.8),0)</f>
        <v/>
      </c>
      <c r="AA73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2">
      <c r="A732" s="42" t="n">
        <v>45260</v>
      </c>
      <c r="B732" s="43" t="n">
        <v>15947.8701</v>
      </c>
      <c r="C732" s="43" t="n">
        <v>3724.5801</v>
      </c>
      <c r="D732" s="43" t="n">
        <v>29.6084</v>
      </c>
      <c r="E732" s="43" t="n">
        <v>13.7721</v>
      </c>
      <c r="F732" s="44" t="n">
        <v>139</v>
      </c>
      <c r="G732" s="44" t="n">
        <v>976</v>
      </c>
      <c r="H732" s="43" t="n">
        <v>11.2999</v>
      </c>
      <c r="I732" s="43" t="n">
        <v>16.8775</v>
      </c>
      <c r="J732" s="44" t="n">
        <v>384</v>
      </c>
      <c r="K73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2" s="46">
        <f>(Dashboard!$C$13*tblHistory[[#This Row],[NDX S]]+Dashboard!$C$14*tblHistory[[#This Row],[SOX S]]+Dashboard!$C$15*tblHistory[[#This Row],[AIQ S]])/(Dashboard!$C$13+Dashboard!$C$14+Dashboard!$C$15)*100</f>
        <v/>
      </c>
      <c r="U732" s="46">
        <f>(Dashboard!$C$16*tblHistory[[#This Row],[DTCR S]]+Dashboard!$C$17*tblHistory[[#This Row],[BBB S]]+Dashboard!$C$18*tblHistory[[#This Row],[CCC S]])/(Dashboard!$C$16+Dashboard!$C$17+Dashboard!$C$18)*100</f>
        <v/>
      </c>
      <c r="V732" s="46">
        <f>(Dashboard!$C$19*tblHistory[[#This Row],[BIZD S]]+Dashboard!$C$20*tblHistory[[#This Row],[BKLN S]]+Dashboard!$C$21*tblHistory[[#This Row],[HY S]])/(Dashboard!$C$19+Dashboard!$C$20+Dashboard!$C$21)*100</f>
        <v/>
      </c>
      <c r="W73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2" s="46">
        <f>IFERROR(--(tblHistory[[#This Row],[Score]]&gt;=50),0)</f>
        <v/>
      </c>
      <c r="Y732" s="46">
        <f>IFERROR(--AND(tblHistory[[#This Row],[Score]]&gt;=60,OR(AND(tblHistory[[#This Row],[BIZD S]]&gt;=0.8,tblHistory[[#This Row],[BKLN S]]&gt;=0.5),tblHistory[[#This Row],[CCC S]]&gt;=0.8)),0)</f>
        <v/>
      </c>
      <c r="Z732" s="46">
        <f>IFERROR(--AND(tblHistory[[#This Row],[Score]]&gt;=70,tblHistory[[#This Row],[SOX S]]&gt;=0.83,tblHistory[[#This Row],[AIQ S]]&gt;=0.8),0)</f>
        <v/>
      </c>
      <c r="AA73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3">
      <c r="A733" s="42" t="n">
        <v>45259</v>
      </c>
      <c r="B733" s="43" t="n">
        <v>15987.5996</v>
      </c>
      <c r="C733" s="43" t="n">
        <v>3753.3601</v>
      </c>
      <c r="D733" s="43" t="n">
        <v>29.5785</v>
      </c>
      <c r="E733" s="43" t="n">
        <v>13.7625</v>
      </c>
      <c r="F733" s="44" t="n">
        <v>138</v>
      </c>
      <c r="G733" s="44" t="n">
        <v>960</v>
      </c>
      <c r="H733" s="43" t="n">
        <v>11.2785</v>
      </c>
      <c r="I733" s="43" t="n">
        <v>16.8613</v>
      </c>
      <c r="J733" s="44" t="n">
        <v>380</v>
      </c>
      <c r="K73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3" s="46">
        <f>(Dashboard!$C$13*tblHistory[[#This Row],[NDX S]]+Dashboard!$C$14*tblHistory[[#This Row],[SOX S]]+Dashboard!$C$15*tblHistory[[#This Row],[AIQ S]])/(Dashboard!$C$13+Dashboard!$C$14+Dashboard!$C$15)*100</f>
        <v/>
      </c>
      <c r="U733" s="46">
        <f>(Dashboard!$C$16*tblHistory[[#This Row],[DTCR S]]+Dashboard!$C$17*tblHistory[[#This Row],[BBB S]]+Dashboard!$C$18*tblHistory[[#This Row],[CCC S]])/(Dashboard!$C$16+Dashboard!$C$17+Dashboard!$C$18)*100</f>
        <v/>
      </c>
      <c r="V733" s="46">
        <f>(Dashboard!$C$19*tblHistory[[#This Row],[BIZD S]]+Dashboard!$C$20*tblHistory[[#This Row],[BKLN S]]+Dashboard!$C$21*tblHistory[[#This Row],[HY S]])/(Dashboard!$C$19+Dashboard!$C$20+Dashboard!$C$21)*100</f>
        <v/>
      </c>
      <c r="W73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3" s="46">
        <f>IFERROR(--(tblHistory[[#This Row],[Score]]&gt;=50),0)</f>
        <v/>
      </c>
      <c r="Y733" s="46">
        <f>IFERROR(--AND(tblHistory[[#This Row],[Score]]&gt;=60,OR(AND(tblHistory[[#This Row],[BIZD S]]&gt;=0.8,tblHistory[[#This Row],[BKLN S]]&gt;=0.5),tblHistory[[#This Row],[CCC S]]&gt;=0.8)),0)</f>
        <v/>
      </c>
      <c r="Z733" s="46">
        <f>IFERROR(--AND(tblHistory[[#This Row],[Score]]&gt;=70,tblHistory[[#This Row],[SOX S]]&gt;=0.83,tblHistory[[#This Row],[AIQ S]]&gt;=0.8),0)</f>
        <v/>
      </c>
      <c r="AA73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4">
      <c r="A734" s="42" t="n">
        <v>45258</v>
      </c>
      <c r="B734" s="43" t="n">
        <v>16010.4297</v>
      </c>
      <c r="C734" s="43" t="n">
        <v>3718.3501</v>
      </c>
      <c r="D734" s="43" t="n">
        <v>29.4789</v>
      </c>
      <c r="E734" s="43" t="n">
        <v>13.5319</v>
      </c>
      <c r="F734" s="44" t="n">
        <v>141</v>
      </c>
      <c r="G734" s="44" t="n">
        <v>975</v>
      </c>
      <c r="H734" s="43" t="n">
        <v>11.2999</v>
      </c>
      <c r="I734" s="43" t="n">
        <v>16.8613</v>
      </c>
      <c r="J734" s="44" t="n">
        <v>390</v>
      </c>
      <c r="K73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4" s="46">
        <f>(Dashboard!$C$13*tblHistory[[#This Row],[NDX S]]+Dashboard!$C$14*tblHistory[[#This Row],[SOX S]]+Dashboard!$C$15*tblHistory[[#This Row],[AIQ S]])/(Dashboard!$C$13+Dashboard!$C$14+Dashboard!$C$15)*100</f>
        <v/>
      </c>
      <c r="U734" s="46">
        <f>(Dashboard!$C$16*tblHistory[[#This Row],[DTCR S]]+Dashboard!$C$17*tblHistory[[#This Row],[BBB S]]+Dashboard!$C$18*tblHistory[[#This Row],[CCC S]])/(Dashboard!$C$16+Dashboard!$C$17+Dashboard!$C$18)*100</f>
        <v/>
      </c>
      <c r="V734" s="46">
        <f>(Dashboard!$C$19*tblHistory[[#This Row],[BIZD S]]+Dashboard!$C$20*tblHistory[[#This Row],[BKLN S]]+Dashboard!$C$21*tblHistory[[#This Row],[HY S]])/(Dashboard!$C$19+Dashboard!$C$20+Dashboard!$C$21)*100</f>
        <v/>
      </c>
      <c r="W73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4" s="46">
        <f>IFERROR(--(tblHistory[[#This Row],[Score]]&gt;=50),0)</f>
        <v/>
      </c>
      <c r="Y734" s="46">
        <f>IFERROR(--AND(tblHistory[[#This Row],[Score]]&gt;=60,OR(AND(tblHistory[[#This Row],[BIZD S]]&gt;=0.8,tblHistory[[#This Row],[BKLN S]]&gt;=0.5),tblHistory[[#This Row],[CCC S]]&gt;=0.8)),0)</f>
        <v/>
      </c>
      <c r="Z734" s="46">
        <f>IFERROR(--AND(tblHistory[[#This Row],[Score]]&gt;=70,tblHistory[[#This Row],[SOX S]]&gt;=0.83,tblHistory[[#This Row],[AIQ S]]&gt;=0.8),0)</f>
        <v/>
      </c>
      <c r="AA73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5">
      <c r="A735" s="42" t="n">
        <v>45257</v>
      </c>
      <c r="B735" s="43" t="n">
        <v>15961.9805</v>
      </c>
      <c r="C735" s="43" t="n">
        <v>3739.3101</v>
      </c>
      <c r="D735" s="43" t="n">
        <v>29.4889</v>
      </c>
      <c r="E735" s="43" t="n">
        <v>13.4742</v>
      </c>
      <c r="F735" s="44" t="n">
        <v>141</v>
      </c>
      <c r="G735" s="44" t="n">
        <v>976</v>
      </c>
      <c r="H735" s="43" t="n">
        <v>11.3427</v>
      </c>
      <c r="I735" s="43" t="n">
        <v>16.8613</v>
      </c>
      <c r="J735" s="44" t="n">
        <v>389</v>
      </c>
      <c r="K73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5" s="46">
        <f>(Dashboard!$C$13*tblHistory[[#This Row],[NDX S]]+Dashboard!$C$14*tblHistory[[#This Row],[SOX S]]+Dashboard!$C$15*tblHistory[[#This Row],[AIQ S]])/(Dashboard!$C$13+Dashboard!$C$14+Dashboard!$C$15)*100</f>
        <v/>
      </c>
      <c r="U735" s="46">
        <f>(Dashboard!$C$16*tblHistory[[#This Row],[DTCR S]]+Dashboard!$C$17*tblHistory[[#This Row],[BBB S]]+Dashboard!$C$18*tblHistory[[#This Row],[CCC S]])/(Dashboard!$C$16+Dashboard!$C$17+Dashboard!$C$18)*100</f>
        <v/>
      </c>
      <c r="V735" s="46">
        <f>(Dashboard!$C$19*tblHistory[[#This Row],[BIZD S]]+Dashboard!$C$20*tblHistory[[#This Row],[BKLN S]]+Dashboard!$C$21*tblHistory[[#This Row],[HY S]])/(Dashboard!$C$19+Dashboard!$C$20+Dashboard!$C$21)*100</f>
        <v/>
      </c>
      <c r="W73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5" s="46">
        <f>IFERROR(--(tblHistory[[#This Row],[Score]]&gt;=50),0)</f>
        <v/>
      </c>
      <c r="Y735" s="46">
        <f>IFERROR(--AND(tblHistory[[#This Row],[Score]]&gt;=60,OR(AND(tblHistory[[#This Row],[BIZD S]]&gt;=0.8,tblHistory[[#This Row],[BKLN S]]&gt;=0.5),tblHistory[[#This Row],[CCC S]]&gt;=0.8)),0)</f>
        <v/>
      </c>
      <c r="Z735" s="46">
        <f>IFERROR(--AND(tblHistory[[#This Row],[Score]]&gt;=70,tblHistory[[#This Row],[SOX S]]&gt;=0.83,tblHistory[[#This Row],[AIQ S]]&gt;=0.8),0)</f>
        <v/>
      </c>
      <c r="AA73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6">
      <c r="A736" s="42" t="n">
        <v>45254</v>
      </c>
      <c r="B736" s="43" t="n">
        <v>15982.0098</v>
      </c>
      <c r="C736" s="43" t="n">
        <v>3747.9299</v>
      </c>
      <c r="D736" s="43" t="n">
        <v>29.4391</v>
      </c>
      <c r="E736" s="43" t="n">
        <v>13.3204</v>
      </c>
      <c r="F736" s="44" t="n">
        <v>142</v>
      </c>
      <c r="G736" s="44" t="n">
        <v>977</v>
      </c>
      <c r="H736" s="43" t="n">
        <v>11.3712</v>
      </c>
      <c r="I736" s="43" t="n">
        <v>16.8694</v>
      </c>
      <c r="J736" s="44" t="n">
        <v>385</v>
      </c>
      <c r="K73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6" s="46">
        <f>(Dashboard!$C$13*tblHistory[[#This Row],[NDX S]]+Dashboard!$C$14*tblHistory[[#This Row],[SOX S]]+Dashboard!$C$15*tblHistory[[#This Row],[AIQ S]])/(Dashboard!$C$13+Dashboard!$C$14+Dashboard!$C$15)*100</f>
        <v/>
      </c>
      <c r="U736" s="46">
        <f>(Dashboard!$C$16*tblHistory[[#This Row],[DTCR S]]+Dashboard!$C$17*tblHistory[[#This Row],[BBB S]]+Dashboard!$C$18*tblHistory[[#This Row],[CCC S]])/(Dashboard!$C$16+Dashboard!$C$17+Dashboard!$C$18)*100</f>
        <v/>
      </c>
      <c r="V736" s="46">
        <f>(Dashboard!$C$19*tblHistory[[#This Row],[BIZD S]]+Dashboard!$C$20*tblHistory[[#This Row],[BKLN S]]+Dashboard!$C$21*tblHistory[[#This Row],[HY S]])/(Dashboard!$C$19+Dashboard!$C$20+Dashboard!$C$21)*100</f>
        <v/>
      </c>
      <c r="W73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6" s="46">
        <f>IFERROR(--(tblHistory[[#This Row],[Score]]&gt;=50),0)</f>
        <v/>
      </c>
      <c r="Y736" s="46">
        <f>IFERROR(--AND(tblHistory[[#This Row],[Score]]&gt;=60,OR(AND(tblHistory[[#This Row],[BIZD S]]&gt;=0.8,tblHistory[[#This Row],[BKLN S]]&gt;=0.5),tblHistory[[#This Row],[CCC S]]&gt;=0.8)),0)</f>
        <v/>
      </c>
      <c r="Z736" s="46">
        <f>IFERROR(--AND(tblHistory[[#This Row],[Score]]&gt;=70,tblHistory[[#This Row],[SOX S]]&gt;=0.83,tblHistory[[#This Row],[AIQ S]]&gt;=0.8),0)</f>
        <v/>
      </c>
      <c r="AA73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7">
      <c r="A737" s="42" t="n">
        <v>45252</v>
      </c>
      <c r="B737" s="43" t="n">
        <v>16001.3896</v>
      </c>
      <c r="C737" s="43" t="n">
        <v>3744.96</v>
      </c>
      <c r="D737" s="43" t="n">
        <v>29.459</v>
      </c>
      <c r="E737" s="43" t="n">
        <v>13.4069</v>
      </c>
      <c r="F737" s="44" t="n">
        <v>143</v>
      </c>
      <c r="G737" s="44" t="n">
        <v>982</v>
      </c>
      <c r="H737" s="43" t="n">
        <v>11.3142</v>
      </c>
      <c r="I737" s="43" t="n">
        <v>16.8775</v>
      </c>
      <c r="J737" s="44" t="n">
        <v>390</v>
      </c>
      <c r="K73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7" s="46">
        <f>(Dashboard!$C$13*tblHistory[[#This Row],[NDX S]]+Dashboard!$C$14*tblHistory[[#This Row],[SOX S]]+Dashboard!$C$15*tblHistory[[#This Row],[AIQ S]])/(Dashboard!$C$13+Dashboard!$C$14+Dashboard!$C$15)*100</f>
        <v/>
      </c>
      <c r="U737" s="46">
        <f>(Dashboard!$C$16*tblHistory[[#This Row],[DTCR S]]+Dashboard!$C$17*tblHistory[[#This Row],[BBB S]]+Dashboard!$C$18*tblHistory[[#This Row],[CCC S]])/(Dashboard!$C$16+Dashboard!$C$17+Dashboard!$C$18)*100</f>
        <v/>
      </c>
      <c r="V737" s="46">
        <f>(Dashboard!$C$19*tblHistory[[#This Row],[BIZD S]]+Dashboard!$C$20*tblHistory[[#This Row],[BKLN S]]+Dashboard!$C$21*tblHistory[[#This Row],[HY S]])/(Dashboard!$C$19+Dashboard!$C$20+Dashboard!$C$21)*100</f>
        <v/>
      </c>
      <c r="W73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7" s="46">
        <f>IFERROR(--(tblHistory[[#This Row],[Score]]&gt;=50),0)</f>
        <v/>
      </c>
      <c r="Y737" s="46">
        <f>IFERROR(--AND(tblHistory[[#This Row],[Score]]&gt;=60,OR(AND(tblHistory[[#This Row],[BIZD S]]&gt;=0.8,tblHistory[[#This Row],[BKLN S]]&gt;=0.5),tblHistory[[#This Row],[CCC S]]&gt;=0.8)),0)</f>
        <v/>
      </c>
      <c r="Z737" s="46">
        <f>IFERROR(--AND(tblHistory[[#This Row],[Score]]&gt;=70,tblHistory[[#This Row],[SOX S]]&gt;=0.83,tblHistory[[#This Row],[AIQ S]]&gt;=0.8),0)</f>
        <v/>
      </c>
      <c r="AA73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8">
      <c r="A738" s="42" t="n">
        <v>45251</v>
      </c>
      <c r="B738" s="43" t="n">
        <v>15933.6201</v>
      </c>
      <c r="C738" s="43" t="n">
        <v>3732.79</v>
      </c>
      <c r="D738" s="43" t="n">
        <v>29.3395</v>
      </c>
      <c r="E738" s="43" t="n">
        <v>13.3589</v>
      </c>
      <c r="F738" s="44" t="n">
        <v>146</v>
      </c>
      <c r="G738" s="44" t="n">
        <v>983</v>
      </c>
      <c r="H738" s="43" t="n">
        <v>11.2785</v>
      </c>
      <c r="I738" s="43" t="n">
        <v>16.8694</v>
      </c>
      <c r="J738" s="44" t="n">
        <v>395</v>
      </c>
      <c r="K73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8" s="46">
        <f>(Dashboard!$C$13*tblHistory[[#This Row],[NDX S]]+Dashboard!$C$14*tblHistory[[#This Row],[SOX S]]+Dashboard!$C$15*tblHistory[[#This Row],[AIQ S]])/(Dashboard!$C$13+Dashboard!$C$14+Dashboard!$C$15)*100</f>
        <v/>
      </c>
      <c r="U738" s="46">
        <f>(Dashboard!$C$16*tblHistory[[#This Row],[DTCR S]]+Dashboard!$C$17*tblHistory[[#This Row],[BBB S]]+Dashboard!$C$18*tblHistory[[#This Row],[CCC S]])/(Dashboard!$C$16+Dashboard!$C$17+Dashboard!$C$18)*100</f>
        <v/>
      </c>
      <c r="V738" s="46">
        <f>(Dashboard!$C$19*tblHistory[[#This Row],[BIZD S]]+Dashboard!$C$20*tblHistory[[#This Row],[BKLN S]]+Dashboard!$C$21*tblHistory[[#This Row],[HY S]])/(Dashboard!$C$19+Dashboard!$C$20+Dashboard!$C$21)*100</f>
        <v/>
      </c>
      <c r="W73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8" s="46">
        <f>IFERROR(--(tblHistory[[#This Row],[Score]]&gt;=50),0)</f>
        <v/>
      </c>
      <c r="Y738" s="46">
        <f>IFERROR(--AND(tblHistory[[#This Row],[Score]]&gt;=60,OR(AND(tblHistory[[#This Row],[BIZD S]]&gt;=0.8,tblHistory[[#This Row],[BKLN S]]&gt;=0.5),tblHistory[[#This Row],[CCC S]]&gt;=0.8)),0)</f>
        <v/>
      </c>
      <c r="Z738" s="46">
        <f>IFERROR(--AND(tblHistory[[#This Row],[Score]]&gt;=70,tblHistory[[#This Row],[SOX S]]&gt;=0.83,tblHistory[[#This Row],[AIQ S]]&gt;=0.8),0)</f>
        <v/>
      </c>
      <c r="AA73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39">
      <c r="A739" s="42" t="n">
        <v>45250</v>
      </c>
      <c r="B739" s="43" t="n">
        <v>16027.0596</v>
      </c>
      <c r="C739" s="43" t="n">
        <v>3805.8101</v>
      </c>
      <c r="D739" s="43" t="n">
        <v>29.5287</v>
      </c>
      <c r="E739" s="43" t="n">
        <v>13.503</v>
      </c>
      <c r="F739" s="44" t="n">
        <v>146</v>
      </c>
      <c r="G739" s="44" t="n">
        <v>981</v>
      </c>
      <c r="H739" s="43" t="n">
        <v>11.2928</v>
      </c>
      <c r="I739" s="43" t="n">
        <v>16.8694</v>
      </c>
      <c r="J739" s="44" t="n">
        <v>392</v>
      </c>
      <c r="K73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3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3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3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3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3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3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3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3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39" s="46">
        <f>(Dashboard!$C$13*tblHistory[[#This Row],[NDX S]]+Dashboard!$C$14*tblHistory[[#This Row],[SOX S]]+Dashboard!$C$15*tblHistory[[#This Row],[AIQ S]])/(Dashboard!$C$13+Dashboard!$C$14+Dashboard!$C$15)*100</f>
        <v/>
      </c>
      <c r="U739" s="46">
        <f>(Dashboard!$C$16*tblHistory[[#This Row],[DTCR S]]+Dashboard!$C$17*tblHistory[[#This Row],[BBB S]]+Dashboard!$C$18*tblHistory[[#This Row],[CCC S]])/(Dashboard!$C$16+Dashboard!$C$17+Dashboard!$C$18)*100</f>
        <v/>
      </c>
      <c r="V739" s="46">
        <f>(Dashboard!$C$19*tblHistory[[#This Row],[BIZD S]]+Dashboard!$C$20*tblHistory[[#This Row],[BKLN S]]+Dashboard!$C$21*tblHistory[[#This Row],[HY S]])/(Dashboard!$C$19+Dashboard!$C$20+Dashboard!$C$21)*100</f>
        <v/>
      </c>
      <c r="W73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39" s="46">
        <f>IFERROR(--(tblHistory[[#This Row],[Score]]&gt;=50),0)</f>
        <v/>
      </c>
      <c r="Y739" s="46">
        <f>IFERROR(--AND(tblHistory[[#This Row],[Score]]&gt;=60,OR(AND(tblHistory[[#This Row],[BIZD S]]&gt;=0.8,tblHistory[[#This Row],[BKLN S]]&gt;=0.5),tblHistory[[#This Row],[CCC S]]&gt;=0.8)),0)</f>
        <v/>
      </c>
      <c r="Z739" s="46">
        <f>IFERROR(--AND(tblHistory[[#This Row],[Score]]&gt;=70,tblHistory[[#This Row],[SOX S]]&gt;=0.83,tblHistory[[#This Row],[AIQ S]]&gt;=0.8),0)</f>
        <v/>
      </c>
      <c r="AA73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3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3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3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3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0">
      <c r="A740" s="42" t="n">
        <v>45247</v>
      </c>
      <c r="B740" s="43" t="n">
        <v>15837.9902</v>
      </c>
      <c r="C740" s="43" t="n">
        <v>3748.6499</v>
      </c>
      <c r="D740" s="43" t="n">
        <v>29.1304</v>
      </c>
      <c r="E740" s="43" t="n">
        <v>13.2916</v>
      </c>
      <c r="F740" s="44" t="n">
        <v>148</v>
      </c>
      <c r="G740" s="44" t="n">
        <v>989</v>
      </c>
      <c r="H740" s="43" t="n">
        <v>11.2357</v>
      </c>
      <c r="I740" s="43" t="n">
        <v>16.8759</v>
      </c>
      <c r="J740" s="44" t="n">
        <v>399</v>
      </c>
      <c r="K74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0" s="46">
        <f>(Dashboard!$C$13*tblHistory[[#This Row],[NDX S]]+Dashboard!$C$14*tblHistory[[#This Row],[SOX S]]+Dashboard!$C$15*tblHistory[[#This Row],[AIQ S]])/(Dashboard!$C$13+Dashboard!$C$14+Dashboard!$C$15)*100</f>
        <v/>
      </c>
      <c r="U740" s="46">
        <f>(Dashboard!$C$16*tblHistory[[#This Row],[DTCR S]]+Dashboard!$C$17*tblHistory[[#This Row],[BBB S]]+Dashboard!$C$18*tblHistory[[#This Row],[CCC S]])/(Dashboard!$C$16+Dashboard!$C$17+Dashboard!$C$18)*100</f>
        <v/>
      </c>
      <c r="V740" s="46">
        <f>(Dashboard!$C$19*tblHistory[[#This Row],[BIZD S]]+Dashboard!$C$20*tblHistory[[#This Row],[BKLN S]]+Dashboard!$C$21*tblHistory[[#This Row],[HY S]])/(Dashboard!$C$19+Dashboard!$C$20+Dashboard!$C$21)*100</f>
        <v/>
      </c>
      <c r="W74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0" s="46">
        <f>IFERROR(--(tblHistory[[#This Row],[Score]]&gt;=50),0)</f>
        <v/>
      </c>
      <c r="Y740" s="46">
        <f>IFERROR(--AND(tblHistory[[#This Row],[Score]]&gt;=60,OR(AND(tblHistory[[#This Row],[BIZD S]]&gt;=0.8,tblHistory[[#This Row],[BKLN S]]&gt;=0.5),tblHistory[[#This Row],[CCC S]]&gt;=0.8)),0)</f>
        <v/>
      </c>
      <c r="Z740" s="46">
        <f>IFERROR(--AND(tblHistory[[#This Row],[Score]]&gt;=70,tblHistory[[#This Row],[SOX S]]&gt;=0.83,tblHistory[[#This Row],[AIQ S]]&gt;=0.8),0)</f>
        <v/>
      </c>
      <c r="AA74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1">
      <c r="A741" s="42" t="n">
        <v>45246</v>
      </c>
      <c r="B741" s="43" t="n">
        <v>15833.1699</v>
      </c>
      <c r="C741" s="43" t="n">
        <v>3724.1001</v>
      </c>
      <c r="D741" s="43" t="n">
        <v>29.0308</v>
      </c>
      <c r="E741" s="43" t="n">
        <v>13.3022</v>
      </c>
      <c r="F741" s="44" t="n">
        <v>150</v>
      </c>
      <c r="G741" s="44" t="n">
        <v>993</v>
      </c>
      <c r="H741" s="43" t="n">
        <v>11.2072</v>
      </c>
      <c r="I741" s="43" t="n">
        <v>16.8598</v>
      </c>
      <c r="J741" s="44" t="n">
        <v>402</v>
      </c>
      <c r="K74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1" s="46">
        <f>(Dashboard!$C$13*tblHistory[[#This Row],[NDX S]]+Dashboard!$C$14*tblHistory[[#This Row],[SOX S]]+Dashboard!$C$15*tblHistory[[#This Row],[AIQ S]])/(Dashboard!$C$13+Dashboard!$C$14+Dashboard!$C$15)*100</f>
        <v/>
      </c>
      <c r="U741" s="46">
        <f>(Dashboard!$C$16*tblHistory[[#This Row],[DTCR S]]+Dashboard!$C$17*tblHistory[[#This Row],[BBB S]]+Dashboard!$C$18*tblHistory[[#This Row],[CCC S]])/(Dashboard!$C$16+Dashboard!$C$17+Dashboard!$C$18)*100</f>
        <v/>
      </c>
      <c r="V741" s="46">
        <f>(Dashboard!$C$19*tblHistory[[#This Row],[BIZD S]]+Dashboard!$C$20*tblHistory[[#This Row],[BKLN S]]+Dashboard!$C$21*tblHistory[[#This Row],[HY S]])/(Dashboard!$C$19+Dashboard!$C$20+Dashboard!$C$21)*100</f>
        <v/>
      </c>
      <c r="W74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1" s="46">
        <f>IFERROR(--(tblHistory[[#This Row],[Score]]&gt;=50),0)</f>
        <v/>
      </c>
      <c r="Y741" s="46">
        <f>IFERROR(--AND(tblHistory[[#This Row],[Score]]&gt;=60,OR(AND(tblHistory[[#This Row],[BIZD S]]&gt;=0.8,tblHistory[[#This Row],[BKLN S]]&gt;=0.5),tblHistory[[#This Row],[CCC S]]&gt;=0.8)),0)</f>
        <v/>
      </c>
      <c r="Z741" s="46">
        <f>IFERROR(--AND(tblHistory[[#This Row],[Score]]&gt;=70,tblHistory[[#This Row],[SOX S]]&gt;=0.83,tblHistory[[#This Row],[AIQ S]]&gt;=0.8),0)</f>
        <v/>
      </c>
      <c r="AA74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2">
      <c r="A742" s="42" t="n">
        <v>45245</v>
      </c>
      <c r="B742" s="43" t="n">
        <v>15817.1797</v>
      </c>
      <c r="C742" s="43" t="n">
        <v>3712.0901</v>
      </c>
      <c r="D742" s="43" t="n">
        <v>29.1005</v>
      </c>
      <c r="E742" s="43" t="n">
        <v>13.2532</v>
      </c>
      <c r="F742" s="44" t="n">
        <v>151</v>
      </c>
      <c r="G742" s="44" t="n">
        <v>977</v>
      </c>
      <c r="H742" s="43" t="n">
        <v>11.2714</v>
      </c>
      <c r="I742" s="43" t="n">
        <v>16.8598</v>
      </c>
      <c r="J742" s="44" t="n">
        <v>389</v>
      </c>
      <c r="K74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2" s="46">
        <f>(Dashboard!$C$13*tblHistory[[#This Row],[NDX S]]+Dashboard!$C$14*tblHistory[[#This Row],[SOX S]]+Dashboard!$C$15*tblHistory[[#This Row],[AIQ S]])/(Dashboard!$C$13+Dashboard!$C$14+Dashboard!$C$15)*100</f>
        <v/>
      </c>
      <c r="U742" s="46">
        <f>(Dashboard!$C$16*tblHistory[[#This Row],[DTCR S]]+Dashboard!$C$17*tblHistory[[#This Row],[BBB S]]+Dashboard!$C$18*tblHistory[[#This Row],[CCC S]])/(Dashboard!$C$16+Dashboard!$C$17+Dashboard!$C$18)*100</f>
        <v/>
      </c>
      <c r="V742" s="46">
        <f>(Dashboard!$C$19*tblHistory[[#This Row],[BIZD S]]+Dashboard!$C$20*tblHistory[[#This Row],[BKLN S]]+Dashboard!$C$21*tblHistory[[#This Row],[HY S]])/(Dashboard!$C$19+Dashboard!$C$20+Dashboard!$C$21)*100</f>
        <v/>
      </c>
      <c r="W74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2" s="46">
        <f>IFERROR(--(tblHistory[[#This Row],[Score]]&gt;=50),0)</f>
        <v/>
      </c>
      <c r="Y742" s="46">
        <f>IFERROR(--AND(tblHistory[[#This Row],[Score]]&gt;=60,OR(AND(tblHistory[[#This Row],[BIZD S]]&gt;=0.8,tblHistory[[#This Row],[BKLN S]]&gt;=0.5),tblHistory[[#This Row],[CCC S]]&gt;=0.8)),0)</f>
        <v/>
      </c>
      <c r="Z742" s="46">
        <f>IFERROR(--AND(tblHistory[[#This Row],[Score]]&gt;=70,tblHistory[[#This Row],[SOX S]]&gt;=0.83,tblHistory[[#This Row],[AIQ S]]&gt;=0.8),0)</f>
        <v/>
      </c>
      <c r="AA74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3">
      <c r="A743" s="42" t="n">
        <v>45244</v>
      </c>
      <c r="B743" s="43" t="n">
        <v>15812.4697</v>
      </c>
      <c r="C743" s="43" t="n">
        <v>3685.5701</v>
      </c>
      <c r="D743" s="43" t="n">
        <v>28.8913</v>
      </c>
      <c r="E743" s="43" t="n">
        <v>13.1667</v>
      </c>
      <c r="F743" s="44" t="n">
        <v>152</v>
      </c>
      <c r="G743" s="44" t="n">
        <v>987</v>
      </c>
      <c r="H743" s="43" t="n">
        <v>11.2571</v>
      </c>
      <c r="I743" s="43" t="n">
        <v>16.8679</v>
      </c>
      <c r="J743" s="44" t="n">
        <v>392</v>
      </c>
      <c r="K74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3" s="46">
        <f>(Dashboard!$C$13*tblHistory[[#This Row],[NDX S]]+Dashboard!$C$14*tblHistory[[#This Row],[SOX S]]+Dashboard!$C$15*tblHistory[[#This Row],[AIQ S]])/(Dashboard!$C$13+Dashboard!$C$14+Dashboard!$C$15)*100</f>
        <v/>
      </c>
      <c r="U743" s="46">
        <f>(Dashboard!$C$16*tblHistory[[#This Row],[DTCR S]]+Dashboard!$C$17*tblHistory[[#This Row],[BBB S]]+Dashboard!$C$18*tblHistory[[#This Row],[CCC S]])/(Dashboard!$C$16+Dashboard!$C$17+Dashboard!$C$18)*100</f>
        <v/>
      </c>
      <c r="V743" s="46">
        <f>(Dashboard!$C$19*tblHistory[[#This Row],[BIZD S]]+Dashboard!$C$20*tblHistory[[#This Row],[BKLN S]]+Dashboard!$C$21*tblHistory[[#This Row],[HY S]])/(Dashboard!$C$19+Dashboard!$C$20+Dashboard!$C$21)*100</f>
        <v/>
      </c>
      <c r="W74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3" s="46">
        <f>IFERROR(--(tblHistory[[#This Row],[Score]]&gt;=50),0)</f>
        <v/>
      </c>
      <c r="Y743" s="46">
        <f>IFERROR(--AND(tblHistory[[#This Row],[Score]]&gt;=60,OR(AND(tblHistory[[#This Row],[BIZD S]]&gt;=0.8,tblHistory[[#This Row],[BKLN S]]&gt;=0.5),tblHistory[[#This Row],[CCC S]]&gt;=0.8)),0)</f>
        <v/>
      </c>
      <c r="Z743" s="46">
        <f>IFERROR(--AND(tblHistory[[#This Row],[Score]]&gt;=70,tblHistory[[#This Row],[SOX S]]&gt;=0.83,tblHistory[[#This Row],[AIQ S]]&gt;=0.8),0)</f>
        <v/>
      </c>
      <c r="AA74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4">
      <c r="A744" s="42" t="n">
        <v>45243</v>
      </c>
      <c r="B744" s="43" t="n">
        <v>15482.79</v>
      </c>
      <c r="C744" s="43" t="n">
        <v>3556.75</v>
      </c>
      <c r="D744" s="43" t="n">
        <v>28.1245</v>
      </c>
      <c r="E744" s="43" t="n">
        <v>12.6285</v>
      </c>
      <c r="F744" s="44" t="n">
        <v>155</v>
      </c>
      <c r="G744" s="44" t="n">
        <v>1012</v>
      </c>
      <c r="H744" s="43" t="n">
        <v>11.1288</v>
      </c>
      <c r="I744" s="43" t="n">
        <v>16.8598</v>
      </c>
      <c r="J744" s="44" t="n">
        <v>403</v>
      </c>
      <c r="K74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4" s="46">
        <f>(Dashboard!$C$13*tblHistory[[#This Row],[NDX S]]+Dashboard!$C$14*tblHistory[[#This Row],[SOX S]]+Dashboard!$C$15*tblHistory[[#This Row],[AIQ S]])/(Dashboard!$C$13+Dashboard!$C$14+Dashboard!$C$15)*100</f>
        <v/>
      </c>
      <c r="U744" s="46">
        <f>(Dashboard!$C$16*tblHistory[[#This Row],[DTCR S]]+Dashboard!$C$17*tblHistory[[#This Row],[BBB S]]+Dashboard!$C$18*tblHistory[[#This Row],[CCC S]])/(Dashboard!$C$16+Dashboard!$C$17+Dashboard!$C$18)*100</f>
        <v/>
      </c>
      <c r="V744" s="46">
        <f>(Dashboard!$C$19*tblHistory[[#This Row],[BIZD S]]+Dashboard!$C$20*tblHistory[[#This Row],[BKLN S]]+Dashboard!$C$21*tblHistory[[#This Row],[HY S]])/(Dashboard!$C$19+Dashboard!$C$20+Dashboard!$C$21)*100</f>
        <v/>
      </c>
      <c r="W74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4" s="46">
        <f>IFERROR(--(tblHistory[[#This Row],[Score]]&gt;=50),0)</f>
        <v/>
      </c>
      <c r="Y744" s="46">
        <f>IFERROR(--AND(tblHistory[[#This Row],[Score]]&gt;=60,OR(AND(tblHistory[[#This Row],[BIZD S]]&gt;=0.8,tblHistory[[#This Row],[BKLN S]]&gt;=0.5),tblHistory[[#This Row],[CCC S]]&gt;=0.8)),0)</f>
        <v/>
      </c>
      <c r="Z744" s="46">
        <f>IFERROR(--AND(tblHistory[[#This Row],[Score]]&gt;=70,tblHistory[[#This Row],[SOX S]]&gt;=0.83,tblHistory[[#This Row],[AIQ S]]&gt;=0.8),0)</f>
        <v/>
      </c>
      <c r="AA74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5">
      <c r="A745" s="42" t="n">
        <v>45240</v>
      </c>
      <c r="B745" s="43" t="n">
        <v>15529.1201</v>
      </c>
      <c r="C745" s="43" t="n">
        <v>3591.74</v>
      </c>
      <c r="D745" s="43" t="n">
        <v>28.1344</v>
      </c>
      <c r="E745" s="43" t="n">
        <v>12.59</v>
      </c>
      <c r="F745" s="44" t="n">
        <v>156</v>
      </c>
      <c r="G745" s="44" t="n">
        <v>1010</v>
      </c>
      <c r="H745" s="43" t="n">
        <v>11.1217</v>
      </c>
      <c r="I745" s="43" t="n">
        <v>16.8518</v>
      </c>
      <c r="J745" s="44" t="n">
        <v>403</v>
      </c>
      <c r="K745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5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5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5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5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5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5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5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5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5" s="46">
        <f>(Dashboard!$C$13*tblHistory[[#This Row],[NDX S]]+Dashboard!$C$14*tblHistory[[#This Row],[SOX S]]+Dashboard!$C$15*tblHistory[[#This Row],[AIQ S]])/(Dashboard!$C$13+Dashboard!$C$14+Dashboard!$C$15)*100</f>
        <v/>
      </c>
      <c r="U745" s="46">
        <f>(Dashboard!$C$16*tblHistory[[#This Row],[DTCR S]]+Dashboard!$C$17*tblHistory[[#This Row],[BBB S]]+Dashboard!$C$18*tblHistory[[#This Row],[CCC S]])/(Dashboard!$C$16+Dashboard!$C$17+Dashboard!$C$18)*100</f>
        <v/>
      </c>
      <c r="V745" s="46">
        <f>(Dashboard!$C$19*tblHistory[[#This Row],[BIZD S]]+Dashboard!$C$20*tblHistory[[#This Row],[BKLN S]]+Dashboard!$C$21*tblHistory[[#This Row],[HY S]])/(Dashboard!$C$19+Dashboard!$C$20+Dashboard!$C$21)*100</f>
        <v/>
      </c>
      <c r="W745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5" s="46">
        <f>IFERROR(--(tblHistory[[#This Row],[Score]]&gt;=50),0)</f>
        <v/>
      </c>
      <c r="Y745" s="46">
        <f>IFERROR(--AND(tblHistory[[#This Row],[Score]]&gt;=60,OR(AND(tblHistory[[#This Row],[BIZD S]]&gt;=0.8,tblHistory[[#This Row],[BKLN S]]&gt;=0.5),tblHistory[[#This Row],[CCC S]]&gt;=0.8)),0)</f>
        <v/>
      </c>
      <c r="Z745" s="46">
        <f>IFERROR(--AND(tblHistory[[#This Row],[Score]]&gt;=70,tblHistory[[#This Row],[SOX S]]&gt;=0.83,tblHistory[[#This Row],[AIQ S]]&gt;=0.8),0)</f>
        <v/>
      </c>
      <c r="AA745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5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5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5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5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6">
      <c r="A746" s="42" t="n">
        <v>45239</v>
      </c>
      <c r="B746" s="43" t="n">
        <v>15187.9004</v>
      </c>
      <c r="C746" s="43" t="n">
        <v>3452.3401</v>
      </c>
      <c r="D746" s="43" t="n">
        <v>27.6664</v>
      </c>
      <c r="E746" s="43" t="n">
        <v>12.5179</v>
      </c>
      <c r="F746" s="44" t="n">
        <v>156</v>
      </c>
      <c r="G746" s="44" t="n">
        <v>1007</v>
      </c>
      <c r="H746" s="43" t="n">
        <v>11.086</v>
      </c>
      <c r="I746" s="43" t="n">
        <v>16.8118</v>
      </c>
      <c r="J746" s="44" t="n">
        <v>404</v>
      </c>
      <c r="K746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6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6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6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6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6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6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6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6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6" s="46">
        <f>(Dashboard!$C$13*tblHistory[[#This Row],[NDX S]]+Dashboard!$C$14*tblHistory[[#This Row],[SOX S]]+Dashboard!$C$15*tblHistory[[#This Row],[AIQ S]])/(Dashboard!$C$13+Dashboard!$C$14+Dashboard!$C$15)*100</f>
        <v/>
      </c>
      <c r="U746" s="46">
        <f>(Dashboard!$C$16*tblHistory[[#This Row],[DTCR S]]+Dashboard!$C$17*tblHistory[[#This Row],[BBB S]]+Dashboard!$C$18*tblHistory[[#This Row],[CCC S]])/(Dashboard!$C$16+Dashboard!$C$17+Dashboard!$C$18)*100</f>
        <v/>
      </c>
      <c r="V746" s="46">
        <f>(Dashboard!$C$19*tblHistory[[#This Row],[BIZD S]]+Dashboard!$C$20*tblHistory[[#This Row],[BKLN S]]+Dashboard!$C$21*tblHistory[[#This Row],[HY S]])/(Dashboard!$C$19+Dashboard!$C$20+Dashboard!$C$21)*100</f>
        <v/>
      </c>
      <c r="W746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6" s="46">
        <f>IFERROR(--(tblHistory[[#This Row],[Score]]&gt;=50),0)</f>
        <v/>
      </c>
      <c r="Y746" s="46">
        <f>IFERROR(--AND(tblHistory[[#This Row],[Score]]&gt;=60,OR(AND(tblHistory[[#This Row],[BIZD S]]&gt;=0.8,tblHistory[[#This Row],[BKLN S]]&gt;=0.5),tblHistory[[#This Row],[CCC S]]&gt;=0.8)),0)</f>
        <v/>
      </c>
      <c r="Z746" s="46">
        <f>IFERROR(--AND(tblHistory[[#This Row],[Score]]&gt;=70,tblHistory[[#This Row],[SOX S]]&gt;=0.83,tblHistory[[#This Row],[AIQ S]]&gt;=0.8),0)</f>
        <v/>
      </c>
      <c r="AA746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6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6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6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6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7">
      <c r="A747" s="42" t="n">
        <v>45238</v>
      </c>
      <c r="B747" s="43" t="n">
        <v>15313.2402</v>
      </c>
      <c r="C747" s="43" t="n">
        <v>3472.6699</v>
      </c>
      <c r="D747" s="43" t="n">
        <v>27.8954</v>
      </c>
      <c r="E747" s="43" t="n">
        <v>12.5756</v>
      </c>
      <c r="F747" s="44" t="n">
        <v>158</v>
      </c>
      <c r="G747" s="44" t="n">
        <v>1018</v>
      </c>
      <c r="H747" s="43" t="n">
        <v>11.0219</v>
      </c>
      <c r="I747" s="43" t="n">
        <v>16.8438</v>
      </c>
      <c r="J747" s="44" t="n">
        <v>408</v>
      </c>
      <c r="K747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7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7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7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7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7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7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7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7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7" s="46">
        <f>(Dashboard!$C$13*tblHistory[[#This Row],[NDX S]]+Dashboard!$C$14*tblHistory[[#This Row],[SOX S]]+Dashboard!$C$15*tblHistory[[#This Row],[AIQ S]])/(Dashboard!$C$13+Dashboard!$C$14+Dashboard!$C$15)*100</f>
        <v/>
      </c>
      <c r="U747" s="46">
        <f>(Dashboard!$C$16*tblHistory[[#This Row],[DTCR S]]+Dashboard!$C$17*tblHistory[[#This Row],[BBB S]]+Dashboard!$C$18*tblHistory[[#This Row],[CCC S]])/(Dashboard!$C$16+Dashboard!$C$17+Dashboard!$C$18)*100</f>
        <v/>
      </c>
      <c r="V747" s="46">
        <f>(Dashboard!$C$19*tblHistory[[#This Row],[BIZD S]]+Dashboard!$C$20*tblHistory[[#This Row],[BKLN S]]+Dashboard!$C$21*tblHistory[[#This Row],[HY S]])/(Dashboard!$C$19+Dashboard!$C$20+Dashboard!$C$21)*100</f>
        <v/>
      </c>
      <c r="W747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7" s="46">
        <f>IFERROR(--(tblHistory[[#This Row],[Score]]&gt;=50),0)</f>
        <v/>
      </c>
      <c r="Y747" s="46">
        <f>IFERROR(--AND(tblHistory[[#This Row],[Score]]&gt;=60,OR(AND(tblHistory[[#This Row],[BIZD S]]&gt;=0.8,tblHistory[[#This Row],[BKLN S]]&gt;=0.5),tblHistory[[#This Row],[CCC S]]&gt;=0.8)),0)</f>
        <v/>
      </c>
      <c r="Z747" s="46">
        <f>IFERROR(--AND(tblHistory[[#This Row],[Score]]&gt;=70,tblHistory[[#This Row],[SOX S]]&gt;=0.83,tblHistory[[#This Row],[AIQ S]]&gt;=0.8),0)</f>
        <v/>
      </c>
      <c r="AA747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7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7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7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7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8">
      <c r="A748" s="42" t="n">
        <v>45237</v>
      </c>
      <c r="B748" s="43" t="n">
        <v>15296.0195</v>
      </c>
      <c r="C748" s="43" t="n">
        <v>3471.46</v>
      </c>
      <c r="D748" s="43" t="n">
        <v>27.8655</v>
      </c>
      <c r="E748" s="43" t="n">
        <v>12.5881</v>
      </c>
      <c r="F748" s="44" t="n">
        <v>158</v>
      </c>
      <c r="G748" s="44" t="n">
        <v>1011</v>
      </c>
      <c r="H748" s="43" t="n">
        <v>11.0361</v>
      </c>
      <c r="I748" s="43" t="n">
        <v>16.8198</v>
      </c>
      <c r="J748" s="44" t="n">
        <v>408</v>
      </c>
      <c r="K748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8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8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8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8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8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8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8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8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8" s="46">
        <f>(Dashboard!$C$13*tblHistory[[#This Row],[NDX S]]+Dashboard!$C$14*tblHistory[[#This Row],[SOX S]]+Dashboard!$C$15*tblHistory[[#This Row],[AIQ S]])/(Dashboard!$C$13+Dashboard!$C$14+Dashboard!$C$15)*100</f>
        <v/>
      </c>
      <c r="U748" s="46">
        <f>(Dashboard!$C$16*tblHistory[[#This Row],[DTCR S]]+Dashboard!$C$17*tblHistory[[#This Row],[BBB S]]+Dashboard!$C$18*tblHistory[[#This Row],[CCC S]])/(Dashboard!$C$16+Dashboard!$C$17+Dashboard!$C$18)*100</f>
        <v/>
      </c>
      <c r="V748" s="46">
        <f>(Dashboard!$C$19*tblHistory[[#This Row],[BIZD S]]+Dashboard!$C$20*tblHistory[[#This Row],[BKLN S]]+Dashboard!$C$21*tblHistory[[#This Row],[HY S]])/(Dashboard!$C$19+Dashboard!$C$20+Dashboard!$C$21)*100</f>
        <v/>
      </c>
      <c r="W748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8" s="46">
        <f>IFERROR(--(tblHistory[[#This Row],[Score]]&gt;=50),0)</f>
        <v/>
      </c>
      <c r="Y748" s="46">
        <f>IFERROR(--AND(tblHistory[[#This Row],[Score]]&gt;=60,OR(AND(tblHistory[[#This Row],[BIZD S]]&gt;=0.8,tblHistory[[#This Row],[BKLN S]]&gt;=0.5),tblHistory[[#This Row],[CCC S]]&gt;=0.8)),0)</f>
        <v/>
      </c>
      <c r="Z748" s="46">
        <f>IFERROR(--AND(tblHistory[[#This Row],[Score]]&gt;=70,tblHistory[[#This Row],[SOX S]]&gt;=0.83,tblHistory[[#This Row],[AIQ S]]&gt;=0.8),0)</f>
        <v/>
      </c>
      <c r="AA748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8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8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8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8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49">
      <c r="A749" s="42" t="n">
        <v>45236</v>
      </c>
      <c r="B749" s="43" t="n">
        <v>15154.9297</v>
      </c>
      <c r="C749" s="43" t="n">
        <v>3444.8899</v>
      </c>
      <c r="D749" s="43" t="n">
        <v>27.5967</v>
      </c>
      <c r="E749" s="43" t="n">
        <v>12.6092</v>
      </c>
      <c r="F749" s="44" t="n">
        <v>158</v>
      </c>
      <c r="G749" s="44" t="n">
        <v>1017</v>
      </c>
      <c r="H749" s="43" t="n">
        <v>11.0718</v>
      </c>
      <c r="I749" s="43" t="n">
        <v>16.7957</v>
      </c>
      <c r="J749" s="44" t="n">
        <v>400</v>
      </c>
      <c r="K749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49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49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49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49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49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49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49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49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49" s="46">
        <f>(Dashboard!$C$13*tblHistory[[#This Row],[NDX S]]+Dashboard!$C$14*tblHistory[[#This Row],[SOX S]]+Dashboard!$C$15*tblHistory[[#This Row],[AIQ S]])/(Dashboard!$C$13+Dashboard!$C$14+Dashboard!$C$15)*100</f>
        <v/>
      </c>
      <c r="U749" s="46">
        <f>(Dashboard!$C$16*tblHistory[[#This Row],[DTCR S]]+Dashboard!$C$17*tblHistory[[#This Row],[BBB S]]+Dashboard!$C$18*tblHistory[[#This Row],[CCC S]])/(Dashboard!$C$16+Dashboard!$C$17+Dashboard!$C$18)*100</f>
        <v/>
      </c>
      <c r="V749" s="46">
        <f>(Dashboard!$C$19*tblHistory[[#This Row],[BIZD S]]+Dashboard!$C$20*tblHistory[[#This Row],[BKLN S]]+Dashboard!$C$21*tblHistory[[#This Row],[HY S]])/(Dashboard!$C$19+Dashboard!$C$20+Dashboard!$C$21)*100</f>
        <v/>
      </c>
      <c r="W749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49" s="46">
        <f>IFERROR(--(tblHistory[[#This Row],[Score]]&gt;=50),0)</f>
        <v/>
      </c>
      <c r="Y749" s="46">
        <f>IFERROR(--AND(tblHistory[[#This Row],[Score]]&gt;=60,OR(AND(tblHistory[[#This Row],[BIZD S]]&gt;=0.8,tblHistory[[#This Row],[BKLN S]]&gt;=0.5),tblHistory[[#This Row],[CCC S]]&gt;=0.8)),0)</f>
        <v/>
      </c>
      <c r="Z749" s="46">
        <f>IFERROR(--AND(tblHistory[[#This Row],[Score]]&gt;=70,tblHistory[[#This Row],[SOX S]]&gt;=0.83,tblHistory[[#This Row],[AIQ S]]&gt;=0.8),0)</f>
        <v/>
      </c>
      <c r="AA749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49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49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49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49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50">
      <c r="A750" s="42" t="n">
        <v>45233</v>
      </c>
      <c r="B750" s="43" t="n">
        <v>15099.4902</v>
      </c>
      <c r="C750" s="43" t="n">
        <v>3454.5701</v>
      </c>
      <c r="D750" s="43" t="n">
        <v>27.4971</v>
      </c>
      <c r="E750" s="43" t="n">
        <v>12.8303</v>
      </c>
      <c r="F750" s="44" t="n">
        <v>158</v>
      </c>
      <c r="G750" s="44" t="n">
        <v>1010</v>
      </c>
      <c r="H750" s="43" t="n">
        <v>11.1359</v>
      </c>
      <c r="I750" s="43" t="n">
        <v>16.8118</v>
      </c>
      <c r="J750" s="44" t="n">
        <v>404</v>
      </c>
      <c r="K750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50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50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50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50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50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50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50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50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50" s="46">
        <f>(Dashboard!$C$13*tblHistory[[#This Row],[NDX S]]+Dashboard!$C$14*tblHistory[[#This Row],[SOX S]]+Dashboard!$C$15*tblHistory[[#This Row],[AIQ S]])/(Dashboard!$C$13+Dashboard!$C$14+Dashboard!$C$15)*100</f>
        <v/>
      </c>
      <c r="U750" s="46">
        <f>(Dashboard!$C$16*tblHistory[[#This Row],[DTCR S]]+Dashboard!$C$17*tblHistory[[#This Row],[BBB S]]+Dashboard!$C$18*tblHistory[[#This Row],[CCC S]])/(Dashboard!$C$16+Dashboard!$C$17+Dashboard!$C$18)*100</f>
        <v/>
      </c>
      <c r="V750" s="46">
        <f>(Dashboard!$C$19*tblHistory[[#This Row],[BIZD S]]+Dashboard!$C$20*tblHistory[[#This Row],[BKLN S]]+Dashboard!$C$21*tblHistory[[#This Row],[HY S]])/(Dashboard!$C$19+Dashboard!$C$20+Dashboard!$C$21)*100</f>
        <v/>
      </c>
      <c r="W750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50" s="46">
        <f>IFERROR(--(tblHistory[[#This Row],[Score]]&gt;=50),0)</f>
        <v/>
      </c>
      <c r="Y750" s="46">
        <f>IFERROR(--AND(tblHistory[[#This Row],[Score]]&gt;=60,OR(AND(tblHistory[[#This Row],[BIZD S]]&gt;=0.8,tblHistory[[#This Row],[BKLN S]]&gt;=0.5),tblHistory[[#This Row],[CCC S]]&gt;=0.8)),0)</f>
        <v/>
      </c>
      <c r="Z750" s="46">
        <f>IFERROR(--AND(tblHistory[[#This Row],[Score]]&gt;=70,tblHistory[[#This Row],[SOX S]]&gt;=0.83,tblHistory[[#This Row],[AIQ S]]&gt;=0.8),0)</f>
        <v/>
      </c>
      <c r="AA750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50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50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50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50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51">
      <c r="A751" s="42" t="n">
        <v>45232</v>
      </c>
      <c r="B751" s="43" t="n">
        <v>14919.5498</v>
      </c>
      <c r="C751" s="43" t="n">
        <v>3368.54</v>
      </c>
      <c r="D751" s="43" t="n">
        <v>27.0389</v>
      </c>
      <c r="E751" s="43" t="n">
        <v>12.417</v>
      </c>
      <c r="F751" s="44" t="n">
        <v>159</v>
      </c>
      <c r="G751" s="44" t="n">
        <v>1012</v>
      </c>
      <c r="H751" s="43" t="n">
        <v>11.0147</v>
      </c>
      <c r="I751" s="43" t="n">
        <v>16.7797</v>
      </c>
      <c r="J751" s="44" t="n">
        <v>415</v>
      </c>
      <c r="K751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51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51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51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51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51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51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51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51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51" s="46">
        <f>(Dashboard!$C$13*tblHistory[[#This Row],[NDX S]]+Dashboard!$C$14*tblHistory[[#This Row],[SOX S]]+Dashboard!$C$15*tblHistory[[#This Row],[AIQ S]])/(Dashboard!$C$13+Dashboard!$C$14+Dashboard!$C$15)*100</f>
        <v/>
      </c>
      <c r="U751" s="46">
        <f>(Dashboard!$C$16*tblHistory[[#This Row],[DTCR S]]+Dashboard!$C$17*tblHistory[[#This Row],[BBB S]]+Dashboard!$C$18*tblHistory[[#This Row],[CCC S]])/(Dashboard!$C$16+Dashboard!$C$17+Dashboard!$C$18)*100</f>
        <v/>
      </c>
      <c r="V751" s="46">
        <f>(Dashboard!$C$19*tblHistory[[#This Row],[BIZD S]]+Dashboard!$C$20*tblHistory[[#This Row],[BKLN S]]+Dashboard!$C$21*tblHistory[[#This Row],[HY S]])/(Dashboard!$C$19+Dashboard!$C$20+Dashboard!$C$21)*100</f>
        <v/>
      </c>
      <c r="W751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51" s="46">
        <f>IFERROR(--(tblHistory[[#This Row],[Score]]&gt;=50),0)</f>
        <v/>
      </c>
      <c r="Y751" s="46">
        <f>IFERROR(--AND(tblHistory[[#This Row],[Score]]&gt;=60,OR(AND(tblHistory[[#This Row],[BIZD S]]&gt;=0.8,tblHistory[[#This Row],[BKLN S]]&gt;=0.5),tblHistory[[#This Row],[CCC S]]&gt;=0.8)),0)</f>
        <v/>
      </c>
      <c r="Z751" s="46">
        <f>IFERROR(--AND(tblHistory[[#This Row],[Score]]&gt;=70,tblHistory[[#This Row],[SOX S]]&gt;=0.83,tblHistory[[#This Row],[AIQ S]]&gt;=0.8),0)</f>
        <v/>
      </c>
      <c r="AA751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51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51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51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51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52">
      <c r="A752" s="42" t="n">
        <v>45231</v>
      </c>
      <c r="B752" s="43" t="n">
        <v>14664.9102</v>
      </c>
      <c r="C752" s="43" t="n">
        <v>3290.95</v>
      </c>
      <c r="D752" s="43" t="n">
        <v>26.4314</v>
      </c>
      <c r="E752" s="43" t="n">
        <v>12.0903</v>
      </c>
      <c r="F752" s="44" t="n">
        <v>163</v>
      </c>
      <c r="G752" s="44" t="n">
        <v>1057</v>
      </c>
      <c r="H752" s="43" t="n">
        <v>10.7866</v>
      </c>
      <c r="I752" s="43" t="n">
        <v>16.7076</v>
      </c>
      <c r="J752" s="44" t="n">
        <v>447</v>
      </c>
      <c r="K752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52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52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52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52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52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52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52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52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52" s="46">
        <f>(Dashboard!$C$13*tblHistory[[#This Row],[NDX S]]+Dashboard!$C$14*tblHistory[[#This Row],[SOX S]]+Dashboard!$C$15*tblHistory[[#This Row],[AIQ S]])/(Dashboard!$C$13+Dashboard!$C$14+Dashboard!$C$15)*100</f>
        <v/>
      </c>
      <c r="U752" s="46">
        <f>(Dashboard!$C$16*tblHistory[[#This Row],[DTCR S]]+Dashboard!$C$17*tblHistory[[#This Row],[BBB S]]+Dashboard!$C$18*tblHistory[[#This Row],[CCC S]])/(Dashboard!$C$16+Dashboard!$C$17+Dashboard!$C$18)*100</f>
        <v/>
      </c>
      <c r="V752" s="46">
        <f>(Dashboard!$C$19*tblHistory[[#This Row],[BIZD S]]+Dashboard!$C$20*tblHistory[[#This Row],[BKLN S]]+Dashboard!$C$21*tblHistory[[#This Row],[HY S]])/(Dashboard!$C$19+Dashboard!$C$20+Dashboard!$C$21)*100</f>
        <v/>
      </c>
      <c r="W752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52" s="46">
        <f>IFERROR(--(tblHistory[[#This Row],[Score]]&gt;=50),0)</f>
        <v/>
      </c>
      <c r="Y752" s="46">
        <f>IFERROR(--AND(tblHistory[[#This Row],[Score]]&gt;=60,OR(AND(tblHistory[[#This Row],[BIZD S]]&gt;=0.8,tblHistory[[#This Row],[BKLN S]]&gt;=0.5),tblHistory[[#This Row],[CCC S]]&gt;=0.8)),0)</f>
        <v/>
      </c>
      <c r="Z752" s="46">
        <f>IFERROR(--AND(tblHistory[[#This Row],[Score]]&gt;=70,tblHistory[[#This Row],[SOX S]]&gt;=0.83,tblHistory[[#This Row],[AIQ S]]&gt;=0.8),0)</f>
        <v/>
      </c>
      <c r="AA752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52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52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52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52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53">
      <c r="A753" s="42" t="n">
        <v>45230</v>
      </c>
      <c r="B753" s="43" t="n">
        <v>14409.7803</v>
      </c>
      <c r="C753" s="43" t="n">
        <v>3215.8899</v>
      </c>
      <c r="D753" s="43" t="n">
        <v>26.053</v>
      </c>
      <c r="E753" s="43" t="n">
        <v>11.9173</v>
      </c>
      <c r="F753" s="44" t="n">
        <v>162</v>
      </c>
      <c r="G753" s="44" t="n">
        <v>1040</v>
      </c>
      <c r="H753" s="43" t="n">
        <v>10.6012</v>
      </c>
      <c r="I753" s="43" t="n">
        <v>16.6675</v>
      </c>
      <c r="J753" s="44" t="n">
        <v>442</v>
      </c>
      <c r="K753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53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53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53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53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53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53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53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53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53" s="46">
        <f>(Dashboard!$C$13*tblHistory[[#This Row],[NDX S]]+Dashboard!$C$14*tblHistory[[#This Row],[SOX S]]+Dashboard!$C$15*tblHistory[[#This Row],[AIQ S]])/(Dashboard!$C$13+Dashboard!$C$14+Dashboard!$C$15)*100</f>
        <v/>
      </c>
      <c r="U753" s="46">
        <f>(Dashboard!$C$16*tblHistory[[#This Row],[DTCR S]]+Dashboard!$C$17*tblHistory[[#This Row],[BBB S]]+Dashboard!$C$18*tblHistory[[#This Row],[CCC S]])/(Dashboard!$C$16+Dashboard!$C$17+Dashboard!$C$18)*100</f>
        <v/>
      </c>
      <c r="V753" s="46">
        <f>(Dashboard!$C$19*tblHistory[[#This Row],[BIZD S]]+Dashboard!$C$20*tblHistory[[#This Row],[BKLN S]]+Dashboard!$C$21*tblHistory[[#This Row],[HY S]])/(Dashboard!$C$19+Dashboard!$C$20+Dashboard!$C$21)*100</f>
        <v/>
      </c>
      <c r="W753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53" s="46">
        <f>IFERROR(--(tblHistory[[#This Row],[Score]]&gt;=50),0)</f>
        <v/>
      </c>
      <c r="Y753" s="46">
        <f>IFERROR(--AND(tblHistory[[#This Row],[Score]]&gt;=60,OR(AND(tblHistory[[#This Row],[BIZD S]]&gt;=0.8,tblHistory[[#This Row],[BKLN S]]&gt;=0.5),tblHistory[[#This Row],[CCC S]]&gt;=0.8)),0)</f>
        <v/>
      </c>
      <c r="Z753" s="46">
        <f>IFERROR(--AND(tblHistory[[#This Row],[Score]]&gt;=70,tblHistory[[#This Row],[SOX S]]&gt;=0.83,tblHistory[[#This Row],[AIQ S]]&gt;=0.8),0)</f>
        <v/>
      </c>
      <c r="AA753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53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53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53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53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  <row r="754">
      <c r="A754" s="42" t="n">
        <v>45229</v>
      </c>
      <c r="B754" s="43" t="n">
        <v>14335.5098</v>
      </c>
      <c r="C754" s="43" t="n">
        <v>3185.1799</v>
      </c>
      <c r="D754" s="43" t="n">
        <v>25.9036</v>
      </c>
      <c r="E754" s="43" t="n">
        <v>11.8596</v>
      </c>
      <c r="F754" s="44" t="n">
        <v>162</v>
      </c>
      <c r="G754" s="44" t="n">
        <v>1041</v>
      </c>
      <c r="H754" s="43" t="n">
        <v>10.5656</v>
      </c>
      <c r="I754" s="43" t="n">
        <v>16.6675</v>
      </c>
      <c r="J754" s="44" t="n">
        <v>450</v>
      </c>
      <c r="K754" s="45">
        <f>IF(tblHistory[[#This Row],[Date]]-MIN(tblHistory[Date])&lt;729,NA(),IF(IF(ISNUMBER(tblHistory[[#This Row],[NDX]]),tblHistory[[#This Row],[NDX]],SUMIFS(tblHistory[NDX],tblHistory[Date],_xlfn.MAXIFS(tblHistory[Date],tblHistory[Date],"&lt;"&amp;tblHistory[[#This Row],[Date]],tblHistory[NDX],"&lt;&gt;")))=0,0,MIN(1,MAX(0,((IF(ISNUMBER(tblHistory[[#This Row],[NDX]]),tblHistory[[#This Row],[NDX]],SUMIFS(tblHistory[NDX],tblHistory[Date],_xlfn.MAXIFS(tblHistory[Date],tblHistory[Date],"&lt;"&amp;tblHistory[[#This Row],[Date]],tblHistory[NDX],"&lt;&gt;")))/_xlfn.MAXIFS(tblHistory[NDX],tblHistory[Date],"&lt;="&amp;tblHistory[[#This Row],[Date]],tblHistory[Date],"&gt;="&amp;tblHistory[[#This Row],[Date]]-730)-1)-Dashboard!$G$13)/(Dashboard!$H$13-Dashboard!$G$13)))))</f>
        <v/>
      </c>
      <c r="L754" s="45">
        <f>IF(tblHistory[[#This Row],[Date]]-MIN(tblHistory[Date])&lt;729,NA(),IF(IF(ISNUMBER(tblHistory[[#This Row],[SOX]]),tblHistory[[#This Row],[SOX]],SUMIFS(tblHistory[SOX],tblHistory[Date],_xlfn.MAXIFS(tblHistory[Date],tblHistory[Date],"&lt;"&amp;tblHistory[[#This Row],[Date]],tblHistory[SOX],"&lt;&gt;")))=0,0,MIN(1,MAX(0,((IF(ISNUMBER(tblHistory[[#This Row],[SOX]]),tblHistory[[#This Row],[SOX]],SUMIFS(tblHistory[SOX],tblHistory[Date],_xlfn.MAXIFS(tblHistory[Date],tblHistory[Date],"&lt;"&amp;tblHistory[[#This Row],[Date]],tblHistory[SOX],"&lt;&gt;")))/_xlfn.MAXIFS(tblHistory[SOX],tblHistory[Date],"&lt;="&amp;tblHistory[[#This Row],[Date]],tblHistory[Date],"&gt;="&amp;tblHistory[[#This Row],[Date]]-730)-1)-Dashboard!$G$14)/(Dashboard!$H$14-Dashboard!$G$14)))))</f>
        <v/>
      </c>
      <c r="M754" s="45">
        <f>IF(tblHistory[[#This Row],[Date]]-MIN(tblHistory[Date])&lt;729,NA(),IF(IF(ISNUMBER(tblHistory[[#This Row],[AIQ]]),tblHistory[[#This Row],[AIQ]],SUMIFS(tblHistory[AIQ],tblHistory[Date],_xlfn.MAXIFS(tblHistory[Date],tblHistory[Date],"&lt;"&amp;tblHistory[[#This Row],[Date]],tblHistory[AIQ],"&lt;&gt;")))=0,0,MIN(1,MAX(0,((IF(ISNUMBER(tblHistory[[#This Row],[AIQ]]),tblHistory[[#This Row],[AIQ]],SUMIFS(tblHistory[AIQ],tblHistory[Date],_xlfn.MAXIFS(tblHistory[Date],tblHistory[Date],"&lt;"&amp;tblHistory[[#This Row],[Date]],tblHistory[AIQ],"&lt;&gt;")))/_xlfn.MAXIFS(tblHistory[AIQ],tblHistory[Date],"&lt;="&amp;tblHistory[[#This Row],[Date]],tblHistory[Date],"&gt;="&amp;tblHistory[[#This Row],[Date]]-730)-1)-Dashboard!$G$15)/(Dashboard!$H$15-Dashboard!$G$15)))))</f>
        <v/>
      </c>
      <c r="N754" s="45">
        <f>IF(tblHistory[[#This Row],[Date]]-MIN(tblHistory[Date])&lt;729,NA(),IF(IF(ISNUMBER(tblHistory[[#This Row],[DTCR]]),tblHistory[[#This Row],[DTCR]],SUMIFS(tblHistory[DTCR],tblHistory[Date],_xlfn.MAXIFS(tblHistory[Date],tblHistory[Date],"&lt;"&amp;tblHistory[[#This Row],[Date]],tblHistory[DTCR],"&lt;&gt;")))=0,0,MIN(1,MAX(0,((IF(ISNUMBER(tblHistory[[#This Row],[DTCR]]),tblHistory[[#This Row],[DTCR]],SUMIFS(tblHistory[DTCR],tblHistory[Date],_xlfn.MAXIFS(tblHistory[Date],tblHistory[Date],"&lt;"&amp;tblHistory[[#This Row],[Date]],tblHistory[DTCR],"&lt;&gt;")))/_xlfn.MAXIFS(tblHistory[DTCR],tblHistory[Date],"&lt;="&amp;tblHistory[[#This Row],[Date]],tblHistory[Date],"&gt;="&amp;tblHistory[[#This Row],[Date]]-730)-1)-Dashboard!$G$16)/(Dashboard!$H$16-Dashboard!$G$16)))))</f>
        <v/>
      </c>
      <c r="O754" s="45">
        <f>IF(tblHistory[[#This Row],[Date]]-MIN(tblHistory[Date])&lt;729,NA(),MAX(MIN(1,MAX(0,(IF(ISNUMBER(tblHistory[[#This Row],[BBB]]),tblHistory[[#This Row],[BBB]],SUMIFS(tblHistory[BBB],tblHistory[Date],_xlfn.MAXIFS(tblHistory[Date],tblHistory[Date],"&lt;"&amp;tblHistory[[#This Row],[Date]],tblHistory[BBB],"&lt;&gt;")))-Dashboard!$G$17)/(Dashboard!$H$17-Dashboard!$G$17))),MIN(1,MAX(0,(IF(ISNUMBER(tblHistory[[#This Row],[BBB]]),tblHistory[[#This Row],[BBB]],SUMIFS(tblHistory[BBB],tblHistory[Date],_xlfn.MAXIFS(tblHistory[Date],tblHistory[Date],"&lt;"&amp;tblHistory[[#This Row],[Date]],tblHistory[BBB],"&lt;&gt;")))-_xlfn.MINIFS(tblHistory[BBB],tblHistory[Date],"&lt;="&amp;tblHistory[[#This Row],[Date]],tblHistory[Date],"&gt;="&amp;tblHistory[[#This Row],[Date]]-365)-Dashboard!$L$17)/(Dashboard!$M$17-Dashboard!$L$17)))))</f>
        <v/>
      </c>
      <c r="P754" s="45">
        <f>IF(tblHistory[[#This Row],[Date]]-MIN(tblHistory[Date])&lt;729,NA(),MAX(MIN(1,MAX(0,(IF(ISNUMBER(tblHistory[[#This Row],[CCC]]),tblHistory[[#This Row],[CCC]],SUMIFS(tblHistory[CCC],tblHistory[Date],_xlfn.MAXIFS(tblHistory[Date],tblHistory[Date],"&lt;"&amp;tblHistory[[#This Row],[Date]],tblHistory[CCC],"&lt;&gt;")))-Dashboard!$G$18)/(Dashboard!$H$18-Dashboard!$G$18))),MIN(1,MAX(0,(IF(ISNUMBER(tblHistory[[#This Row],[CCC]]),tblHistory[[#This Row],[CCC]],SUMIFS(tblHistory[CCC],tblHistory[Date],_xlfn.MAXIFS(tblHistory[Date],tblHistory[Date],"&lt;"&amp;tblHistory[[#This Row],[Date]],tblHistory[CCC],"&lt;&gt;")))-_xlfn.MINIFS(tblHistory[CCC],tblHistory[Date],"&lt;="&amp;tblHistory[[#This Row],[Date]],tblHistory[Date],"&gt;="&amp;tblHistory[[#This Row],[Date]]-365)-Dashboard!$L$18)/(Dashboard!$M$18-Dashboard!$L$18)))))</f>
        <v/>
      </c>
      <c r="Q754" s="45">
        <f>IF(tblHistory[[#This Row],[Date]]-MIN(tblHistory[Date])&lt;729,NA(),IF(IF(ISNUMBER(tblHistory[[#This Row],[BIZD]]),tblHistory[[#This Row],[BIZD]],SUMIFS(tblHistory[BIZD],tblHistory[Date],_xlfn.MAXIFS(tblHistory[Date],tblHistory[Date],"&lt;"&amp;tblHistory[[#This Row],[Date]],tblHistory[BIZD],"&lt;&gt;")))=0,0,MIN(1,MAX(0,((IF(ISNUMBER(tblHistory[[#This Row],[BIZD]]),tblHistory[[#This Row],[BIZD]],SUMIFS(tblHistory[BIZD],tblHistory[Date],_xlfn.MAXIFS(tblHistory[Date],tblHistory[Date],"&lt;"&amp;tblHistory[[#This Row],[Date]],tblHistory[BIZD],"&lt;&gt;")))/_xlfn.MAXIFS(tblHistory[BIZD],tblHistory[Date],"&lt;="&amp;tblHistory[[#This Row],[Date]],tblHistory[Date],"&gt;="&amp;tblHistory[[#This Row],[Date]]-730)-1)-Dashboard!$G$19)/(Dashboard!$H$19-Dashboard!$G$19)))))</f>
        <v/>
      </c>
      <c r="R754" s="45">
        <f>IF(tblHistory[[#This Row],[Date]]-MIN(tblHistory[Date])&lt;729,NA(),IF(IF(ISNUMBER(tblHistory[[#This Row],[BKLN]]),tblHistory[[#This Row],[BKLN]],SUMIFS(tblHistory[BKLN],tblHistory[Date],_xlfn.MAXIFS(tblHistory[Date],tblHistory[Date],"&lt;"&amp;tblHistory[[#This Row],[Date]],tblHistory[BKLN],"&lt;&gt;")))=0,0,MIN(1,MAX(0,((IF(ISNUMBER(tblHistory[[#This Row],[BKLN]]),tblHistory[[#This Row],[BKLN]],SUMIFS(tblHistory[BKLN],tblHistory[Date],_xlfn.MAXIFS(tblHistory[Date],tblHistory[Date],"&lt;"&amp;tblHistory[[#This Row],[Date]],tblHistory[BKLN],"&lt;&gt;")))/_xlfn.MAXIFS(tblHistory[BKLN],tblHistory[Date],"&lt;="&amp;tblHistory[[#This Row],[Date]],tblHistory[Date],"&gt;="&amp;tblHistory[[#This Row],[Date]]-730)-1)-Dashboard!$G$20)/(Dashboard!$H$20-Dashboard!$G$20)))))</f>
        <v/>
      </c>
      <c r="S754" s="45">
        <f>IF(tblHistory[[#This Row],[Date]]-MIN(tblHistory[Date])&lt;729,NA(),MAX(MIN(1,MAX(0,(IF(ISNUMBER(tblHistory[[#This Row],[HY]]),tblHistory[[#This Row],[HY]],SUMIFS(tblHistory[HY],tblHistory[Date],_xlfn.MAXIFS(tblHistory[Date],tblHistory[Date],"&lt;"&amp;tblHistory[[#This Row],[Date]],tblHistory[HY],"&lt;&gt;")))-Dashboard!$G$21)/(Dashboard!$H$21-Dashboard!$G$21))),MIN(1,MAX(0,(IF(ISNUMBER(tblHistory[[#This Row],[HY]]),tblHistory[[#This Row],[HY]],SUMIFS(tblHistory[HY],tblHistory[Date],_xlfn.MAXIFS(tblHistory[Date],tblHistory[Date],"&lt;"&amp;tblHistory[[#This Row],[Date]],tblHistory[HY],"&lt;&gt;")))-_xlfn.MINIFS(tblHistory[HY],tblHistory[Date],"&lt;="&amp;tblHistory[[#This Row],[Date]],tblHistory[Date],"&gt;="&amp;tblHistory[[#This Row],[Date]]-365)-Dashboard!$L$21)/(Dashboard!$M$21-Dashboard!$L$21)))))</f>
        <v/>
      </c>
      <c r="T754" s="46">
        <f>(Dashboard!$C$13*tblHistory[[#This Row],[NDX S]]+Dashboard!$C$14*tblHistory[[#This Row],[SOX S]]+Dashboard!$C$15*tblHistory[[#This Row],[AIQ S]])/(Dashboard!$C$13+Dashboard!$C$14+Dashboard!$C$15)*100</f>
        <v/>
      </c>
      <c r="U754" s="46">
        <f>(Dashboard!$C$16*tblHistory[[#This Row],[DTCR S]]+Dashboard!$C$17*tblHistory[[#This Row],[BBB S]]+Dashboard!$C$18*tblHistory[[#This Row],[CCC S]])/(Dashboard!$C$16+Dashboard!$C$17+Dashboard!$C$18)*100</f>
        <v/>
      </c>
      <c r="V754" s="46">
        <f>(Dashboard!$C$19*tblHistory[[#This Row],[BIZD S]]+Dashboard!$C$20*tblHistory[[#This Row],[BKLN S]]+Dashboard!$C$21*tblHistory[[#This Row],[HY S]])/(Dashboard!$C$19+Dashboard!$C$20+Dashboard!$C$21)*100</f>
        <v/>
      </c>
      <c r="W754" s="46">
        <f>ROUND((Dashboard!$C$13*tblHistory[[#This Row],[NDX S]]+Dashboard!$C$14*tblHistory[[#This Row],[SOX S]]+Dashboard!$C$15*tblHistory[[#This Row],[AIQ S]]+Dashboard!$C$16*tblHistory[[#This Row],[DTCR S]]+Dashboard!$C$17*tblHistory[[#This Row],[BBB S]]+Dashboard!$C$18*tblHistory[[#This Row],[CCC S]]+Dashboard!$C$19*tblHistory[[#This Row],[BIZD S]]+Dashboard!$C$20*tblHistory[[#This Row],[BKLN S]]+Dashboard!$C$21*tblHistory[[#This Row],[HY S]])/(Dashboard!$C$13+Dashboard!$C$14+Dashboard!$C$15+Dashboard!$C$16+Dashboard!$C$17+Dashboard!$C$18+Dashboard!$C$19+Dashboard!$C$20+Dashboard!$C$21)*100,0)</f>
        <v/>
      </c>
      <c r="X754" s="46">
        <f>IFERROR(--(tblHistory[[#This Row],[Score]]&gt;=50),0)</f>
        <v/>
      </c>
      <c r="Y754" s="46">
        <f>IFERROR(--AND(tblHistory[[#This Row],[Score]]&gt;=60,OR(AND(tblHistory[[#This Row],[BIZD S]]&gt;=0.8,tblHistory[[#This Row],[BKLN S]]&gt;=0.5),tblHistory[[#This Row],[CCC S]]&gt;=0.8)),0)</f>
        <v/>
      </c>
      <c r="Z754" s="46">
        <f>IFERROR(--AND(tblHistory[[#This Row],[Score]]&gt;=70,tblHistory[[#This Row],[SOX S]]&gt;=0.83,tblHistory[[#This Row],[AIQ S]]&gt;=0.8),0)</f>
        <v/>
      </c>
      <c r="AA754" s="46">
        <f>IFERROR(--AND(tblHistory[[#This Row],[Score]]&gt;=75,tblHistory[[#This Row],[NDX S]]=1,OR(IF(ISNUMBER(tblHistory[[#This Row],[HY]]),tblHistory[[#This Row],[HY]],SUMIFS(tblHistory[HY],tblHistory[Date],_xlfn.MAXIFS(tblHistory[Date],tblHistory[Date],"&lt;"&amp;tblHistory[[#This Row],[Date]],tblHistory[HY],"&lt;&gt;")))&gt;=500,tblHistory[[#This Row],[BIZD S]]=1)),0)</f>
        <v/>
      </c>
      <c r="AB754" s="46">
        <f>IFERROR(--(COUNTIFS(tblHistory[Date],"&gt;="&amp;tblHistory[[#This Row],[Date]],tblHistory[Date],"&lt;="&amp;_xlfn.AGGREGATE(15,6,tblHistory[Date]/(tblHistory[Date]&gt;=tblHistory[[#This Row],[Date]]),5),tblHistory[L1],1)=5),0)</f>
        <v/>
      </c>
      <c r="AC754" s="46">
        <f>IFERROR(--(COUNTIFS(tblHistory[Date],"&gt;="&amp;tblHistory[[#This Row],[Date]],tblHistory[Date],"&lt;="&amp;_xlfn.AGGREGATE(15,6,tblHistory[Date]/(tblHistory[Date]&gt;=tblHistory[[#This Row],[Date]]),5),tblHistory[L2],1)=5),0)</f>
        <v/>
      </c>
      <c r="AD754" s="46">
        <f>IFERROR(--(COUNTIFS(tblHistory[Date],"&gt;="&amp;tblHistory[[#This Row],[Date]],tblHistory[Date],"&lt;="&amp;_xlfn.AGGREGATE(15,6,tblHistory[Date]/(tblHistory[Date]&gt;=tblHistory[[#This Row],[Date]]),5),tblHistory[L3],1)=5),0)</f>
        <v/>
      </c>
      <c r="AE754" s="46">
        <f>IFERROR(--(COUNTIFS(tblHistory[Date],"&gt;="&amp;tblHistory[[#This Row],[Date]],tblHistory[Date],"&lt;="&amp;_xlfn.AGGREGATE(15,6,tblHistory[Date]/(tblHistory[Date]&gt;=tblHistory[[#This Row],[Date]]),5),tblHistory[L4],1)=5),0)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4" max="4"/>
    <col width="12" customWidth="1" min="5" max="5"/>
    <col width="12" customWidth="1" min="7" max="7"/>
    <col width="12" customWidth="1" min="8" max="8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8" t="inlineStr">
        <is>
          <t>Factor</t>
        </is>
      </c>
      <c r="B1" t="inlineStr">
        <is>
          <t>Stress</t>
        </is>
      </c>
      <c r="D1" t="inlineStr">
        <is>
          <t>Gauge</t>
        </is>
      </c>
      <c r="E1" t="inlineStr">
        <is>
          <t>Value</t>
        </is>
      </c>
      <c r="G1" t="inlineStr">
        <is>
          <t>Week ending (Fri)</t>
        </is>
      </c>
      <c r="H1" t="inlineStr">
        <is>
          <t>Weekly high score</t>
        </is>
      </c>
      <c r="J1" t="inlineStr">
        <is>
          <t>Date</t>
        </is>
      </c>
      <c r="K1" t="inlineStr">
        <is>
          <t>EquityP</t>
        </is>
      </c>
      <c r="L1" t="inlineStr">
        <is>
          <t>FinP</t>
        </is>
      </c>
      <c r="M1" t="inlineStr">
        <is>
          <t>CreditP</t>
        </is>
      </c>
      <c r="N1" t="inlineStr">
        <is>
          <t>Score</t>
        </is>
      </c>
    </row>
    <row r="2">
      <c r="A2" t="inlineStr">
        <is>
          <t>NDX</t>
        </is>
      </c>
      <c r="B2" s="45">
        <f>Dashboard!J13</f>
        <v/>
      </c>
      <c r="D2" t="inlineStr">
        <is>
          <t>Score</t>
        </is>
      </c>
      <c r="E2">
        <f>IFERROR(Tracker!C5,0)</f>
        <v/>
      </c>
      <c r="G2" s="47">
        <f>MAX(tblHistory[Date])-WEEKDAY(MAX(tblHistory[Date]),2)+5</f>
        <v/>
      </c>
      <c r="H2">
        <f>IF(COUNTIFS(tblHistory[Date],"&gt;="&amp;G2-6,tblHistory[Date],"&lt;="&amp;G2)=0,NA(),_xlfn.MAXIFS(tblHistory[Score],tblHistory[Date],"&gt;="&amp;G2-6,tblHistory[Date],"&lt;="&amp;G2))</f>
        <v/>
      </c>
      <c r="J2" s="48">
        <f>IFERROR(IF(INDEX(tblHistory[Date],1)&gt;MAX(tblHistory[Date])-364,INDEX(tblHistory[Date],1),""),"")</f>
        <v/>
      </c>
      <c r="K2" s="46">
        <f>IF(J2="",NA(),IFERROR(INDEX(tblHistory[EquityP],1),NA()))</f>
        <v/>
      </c>
      <c r="L2" s="46">
        <f>IF(J2="",NA(),IFERROR(INDEX(tblHistory[FinP],1),NA()))</f>
        <v/>
      </c>
      <c r="M2" s="46">
        <f>IF(J2="",NA(),IFERROR(INDEX(tblHistory[CreditP],1),NA()))</f>
        <v/>
      </c>
      <c r="N2" s="46">
        <f>IF(J2="",NA(),IFERROR(INDEX(tblHistory[Score],1),NA()))</f>
        <v/>
      </c>
    </row>
    <row r="3">
      <c r="A3" t="inlineStr">
        <is>
          <t>SOX</t>
        </is>
      </c>
      <c r="B3" s="45">
        <f>Dashboard!J14</f>
        <v/>
      </c>
      <c r="D3" t="inlineStr">
        <is>
          <t>Rest</t>
        </is>
      </c>
      <c r="E3">
        <f>100-E2</f>
        <v/>
      </c>
      <c r="G3" s="47">
        <f>G2-7</f>
        <v/>
      </c>
      <c r="H3">
        <f>IF(COUNTIFS(tblHistory[Date],"&gt;="&amp;G3-6,tblHistory[Date],"&lt;="&amp;G3)=0,NA(),_xlfn.MAXIFS(tblHistory[Score],tblHistory[Date],"&gt;="&amp;G3-6,tblHistory[Date],"&lt;="&amp;G3))</f>
        <v/>
      </c>
      <c r="J3" s="48">
        <f>IFERROR(IF(INDEX(tblHistory[Date],2)&gt;MAX(tblHistory[Date])-364,INDEX(tblHistory[Date],2),""),"")</f>
        <v/>
      </c>
      <c r="K3" s="46">
        <f>IF(J3="",NA(),IFERROR(INDEX(tblHistory[EquityP],2),NA()))</f>
        <v/>
      </c>
      <c r="L3" s="46">
        <f>IF(J3="",NA(),IFERROR(INDEX(tblHistory[FinP],2),NA()))</f>
        <v/>
      </c>
      <c r="M3" s="46">
        <f>IF(J3="",NA(),IFERROR(INDEX(tblHistory[CreditP],2),NA()))</f>
        <v/>
      </c>
      <c r="N3" s="46">
        <f>IF(J3="",NA(),IFERROR(INDEX(tblHistory[Score],2),NA()))</f>
        <v/>
      </c>
    </row>
    <row r="4">
      <c r="A4" t="inlineStr">
        <is>
          <t>AIQ</t>
        </is>
      </c>
      <c r="B4" s="45">
        <f>Dashboard!J15</f>
        <v/>
      </c>
      <c r="D4" t="inlineStr">
        <is>
          <t>Hidden</t>
        </is>
      </c>
      <c r="E4" t="n">
        <v>100</v>
      </c>
      <c r="G4" s="47">
        <f>G3-7</f>
        <v/>
      </c>
      <c r="H4">
        <f>IF(COUNTIFS(tblHistory[Date],"&gt;="&amp;G4-6,tblHistory[Date],"&lt;="&amp;G4)=0,NA(),_xlfn.MAXIFS(tblHistory[Score],tblHistory[Date],"&gt;="&amp;G4-6,tblHistory[Date],"&lt;="&amp;G4))</f>
        <v/>
      </c>
      <c r="J4" s="48">
        <f>IFERROR(IF(INDEX(tblHistory[Date],3)&gt;MAX(tblHistory[Date])-364,INDEX(tblHistory[Date],3),""),"")</f>
        <v/>
      </c>
      <c r="K4" s="46">
        <f>IF(J4="",NA(),IFERROR(INDEX(tblHistory[EquityP],3),NA()))</f>
        <v/>
      </c>
      <c r="L4" s="46">
        <f>IF(J4="",NA(),IFERROR(INDEX(tblHistory[FinP],3),NA()))</f>
        <v/>
      </c>
      <c r="M4" s="46">
        <f>IF(J4="",NA(),IFERROR(INDEX(tblHistory[CreditP],3),NA()))</f>
        <v/>
      </c>
      <c r="N4" s="46">
        <f>IF(J4="",NA(),IFERROR(INDEX(tblHistory[Score],3),NA()))</f>
        <v/>
      </c>
    </row>
    <row r="5">
      <c r="A5" t="inlineStr">
        <is>
          <t>DTCR</t>
        </is>
      </c>
      <c r="B5" s="45">
        <f>Dashboard!J16</f>
        <v/>
      </c>
      <c r="G5" s="47">
        <f>G4-7</f>
        <v/>
      </c>
      <c r="H5">
        <f>IF(COUNTIFS(tblHistory[Date],"&gt;="&amp;G5-6,tblHistory[Date],"&lt;="&amp;G5)=0,NA(),_xlfn.MAXIFS(tblHistory[Score],tblHistory[Date],"&gt;="&amp;G5-6,tblHistory[Date],"&lt;="&amp;G5))</f>
        <v/>
      </c>
      <c r="J5" s="48">
        <f>IFERROR(IF(INDEX(tblHistory[Date],4)&gt;MAX(tblHistory[Date])-364,INDEX(tblHistory[Date],4),""),"")</f>
        <v/>
      </c>
      <c r="K5" s="46">
        <f>IF(J5="",NA(),IFERROR(INDEX(tblHistory[EquityP],4),NA()))</f>
        <v/>
      </c>
      <c r="L5" s="46">
        <f>IF(J5="",NA(),IFERROR(INDEX(tblHistory[FinP],4),NA()))</f>
        <v/>
      </c>
      <c r="M5" s="46">
        <f>IF(J5="",NA(),IFERROR(INDEX(tblHistory[CreditP],4),NA()))</f>
        <v/>
      </c>
      <c r="N5" s="46">
        <f>IF(J5="",NA(),IFERROR(INDEX(tblHistory[Score],4),NA()))</f>
        <v/>
      </c>
    </row>
    <row r="6">
      <c r="A6" t="inlineStr">
        <is>
          <t>BBB</t>
        </is>
      </c>
      <c r="B6" s="45">
        <f>Dashboard!J17</f>
        <v/>
      </c>
      <c r="G6" s="47">
        <f>G5-7</f>
        <v/>
      </c>
      <c r="H6">
        <f>IF(COUNTIFS(tblHistory[Date],"&gt;="&amp;G6-6,tblHistory[Date],"&lt;="&amp;G6)=0,NA(),_xlfn.MAXIFS(tblHistory[Score],tblHistory[Date],"&gt;="&amp;G6-6,tblHistory[Date],"&lt;="&amp;G6))</f>
        <v/>
      </c>
      <c r="J6" s="48">
        <f>IFERROR(IF(INDEX(tblHistory[Date],5)&gt;MAX(tblHistory[Date])-364,INDEX(tblHistory[Date],5),""),"")</f>
        <v/>
      </c>
      <c r="K6" s="46">
        <f>IF(J6="",NA(),IFERROR(INDEX(tblHistory[EquityP],5),NA()))</f>
        <v/>
      </c>
      <c r="L6" s="46">
        <f>IF(J6="",NA(),IFERROR(INDEX(tblHistory[FinP],5),NA()))</f>
        <v/>
      </c>
      <c r="M6" s="46">
        <f>IF(J6="",NA(),IFERROR(INDEX(tblHistory[CreditP],5),NA()))</f>
        <v/>
      </c>
      <c r="N6" s="46">
        <f>IF(J6="",NA(),IFERROR(INDEX(tblHistory[Score],5),NA()))</f>
        <v/>
      </c>
    </row>
    <row r="7">
      <c r="A7" t="inlineStr">
        <is>
          <t>CCC</t>
        </is>
      </c>
      <c r="B7" s="45">
        <f>Dashboard!J18</f>
        <v/>
      </c>
      <c r="G7" s="47">
        <f>G6-7</f>
        <v/>
      </c>
      <c r="H7">
        <f>IF(COUNTIFS(tblHistory[Date],"&gt;="&amp;G7-6,tblHistory[Date],"&lt;="&amp;G7)=0,NA(),_xlfn.MAXIFS(tblHistory[Score],tblHistory[Date],"&gt;="&amp;G7-6,tblHistory[Date],"&lt;="&amp;G7))</f>
        <v/>
      </c>
      <c r="J7" s="48">
        <f>IFERROR(IF(INDEX(tblHistory[Date],6)&gt;MAX(tblHistory[Date])-364,INDEX(tblHistory[Date],6),""),"")</f>
        <v/>
      </c>
      <c r="K7" s="46">
        <f>IF(J7="",NA(),IFERROR(INDEX(tblHistory[EquityP],6),NA()))</f>
        <v/>
      </c>
      <c r="L7" s="46">
        <f>IF(J7="",NA(),IFERROR(INDEX(tblHistory[FinP],6),NA()))</f>
        <v/>
      </c>
      <c r="M7" s="46">
        <f>IF(J7="",NA(),IFERROR(INDEX(tblHistory[CreditP],6),NA()))</f>
        <v/>
      </c>
      <c r="N7" s="46">
        <f>IF(J7="",NA(),IFERROR(INDEX(tblHistory[Score],6),NA()))</f>
        <v/>
      </c>
    </row>
    <row r="8">
      <c r="A8" t="inlineStr">
        <is>
          <t>BIZD</t>
        </is>
      </c>
      <c r="B8" s="45">
        <f>Dashboard!J19</f>
        <v/>
      </c>
      <c r="G8" s="47">
        <f>G7-7</f>
        <v/>
      </c>
      <c r="H8">
        <f>IF(COUNTIFS(tblHistory[Date],"&gt;="&amp;G8-6,tblHistory[Date],"&lt;="&amp;G8)=0,NA(),_xlfn.MAXIFS(tblHistory[Score],tblHistory[Date],"&gt;="&amp;G8-6,tblHistory[Date],"&lt;="&amp;G8))</f>
        <v/>
      </c>
      <c r="J8" s="48">
        <f>IFERROR(IF(INDEX(tblHistory[Date],7)&gt;MAX(tblHistory[Date])-364,INDEX(tblHistory[Date],7),""),"")</f>
        <v/>
      </c>
      <c r="K8" s="46">
        <f>IF(J8="",NA(),IFERROR(INDEX(tblHistory[EquityP],7),NA()))</f>
        <v/>
      </c>
      <c r="L8" s="46">
        <f>IF(J8="",NA(),IFERROR(INDEX(tblHistory[FinP],7),NA()))</f>
        <v/>
      </c>
      <c r="M8" s="46">
        <f>IF(J8="",NA(),IFERROR(INDEX(tblHistory[CreditP],7),NA()))</f>
        <v/>
      </c>
      <c r="N8" s="46">
        <f>IF(J8="",NA(),IFERROR(INDEX(tblHistory[Score],7),NA()))</f>
        <v/>
      </c>
    </row>
    <row r="9">
      <c r="A9" t="inlineStr">
        <is>
          <t>BKLN</t>
        </is>
      </c>
      <c r="B9" s="45">
        <f>Dashboard!J20</f>
        <v/>
      </c>
      <c r="G9" s="47">
        <f>G8-7</f>
        <v/>
      </c>
      <c r="H9">
        <f>IF(COUNTIFS(tblHistory[Date],"&gt;="&amp;G9-6,tblHistory[Date],"&lt;="&amp;G9)=0,NA(),_xlfn.MAXIFS(tblHistory[Score],tblHistory[Date],"&gt;="&amp;G9-6,tblHistory[Date],"&lt;="&amp;G9))</f>
        <v/>
      </c>
      <c r="J9" s="48">
        <f>IFERROR(IF(INDEX(tblHistory[Date],8)&gt;MAX(tblHistory[Date])-364,INDEX(tblHistory[Date],8),""),"")</f>
        <v/>
      </c>
      <c r="K9" s="46">
        <f>IF(J9="",NA(),IFERROR(INDEX(tblHistory[EquityP],8),NA()))</f>
        <v/>
      </c>
      <c r="L9" s="46">
        <f>IF(J9="",NA(),IFERROR(INDEX(tblHistory[FinP],8),NA()))</f>
        <v/>
      </c>
      <c r="M9" s="46">
        <f>IF(J9="",NA(),IFERROR(INDEX(tblHistory[CreditP],8),NA()))</f>
        <v/>
      </c>
      <c r="N9" s="46">
        <f>IF(J9="",NA(),IFERROR(INDEX(tblHistory[Score],8),NA()))</f>
        <v/>
      </c>
    </row>
    <row r="10">
      <c r="A10" t="inlineStr">
        <is>
          <t>HY</t>
        </is>
      </c>
      <c r="B10" s="45">
        <f>Dashboard!J21</f>
        <v/>
      </c>
      <c r="G10" s="47">
        <f>G9-7</f>
        <v/>
      </c>
      <c r="H10">
        <f>IF(COUNTIFS(tblHistory[Date],"&gt;="&amp;G10-6,tblHistory[Date],"&lt;="&amp;G10)=0,NA(),_xlfn.MAXIFS(tblHistory[Score],tblHistory[Date],"&gt;="&amp;G10-6,tblHistory[Date],"&lt;="&amp;G10))</f>
        <v/>
      </c>
      <c r="J10" s="48">
        <f>IFERROR(IF(INDEX(tblHistory[Date],9)&gt;MAX(tblHistory[Date])-364,INDEX(tblHistory[Date],9),""),"")</f>
        <v/>
      </c>
      <c r="K10" s="46">
        <f>IF(J10="",NA(),IFERROR(INDEX(tblHistory[EquityP],9),NA()))</f>
        <v/>
      </c>
      <c r="L10" s="46">
        <f>IF(J10="",NA(),IFERROR(INDEX(tblHistory[FinP],9),NA()))</f>
        <v/>
      </c>
      <c r="M10" s="46">
        <f>IF(J10="",NA(),IFERROR(INDEX(tblHistory[CreditP],9),NA()))</f>
        <v/>
      </c>
      <c r="N10" s="46">
        <f>IF(J10="",NA(),IFERROR(INDEX(tblHistory[Score],9),NA()))</f>
        <v/>
      </c>
    </row>
    <row r="11">
      <c r="G11" s="47">
        <f>G10-7</f>
        <v/>
      </c>
      <c r="H11">
        <f>IF(COUNTIFS(tblHistory[Date],"&gt;="&amp;G11-6,tblHistory[Date],"&lt;="&amp;G11)=0,NA(),_xlfn.MAXIFS(tblHistory[Score],tblHistory[Date],"&gt;="&amp;G11-6,tblHistory[Date],"&lt;="&amp;G11))</f>
        <v/>
      </c>
      <c r="J11" s="48">
        <f>IFERROR(IF(INDEX(tblHistory[Date],10)&gt;MAX(tblHistory[Date])-364,INDEX(tblHistory[Date],10),""),"")</f>
        <v/>
      </c>
      <c r="K11" s="46">
        <f>IF(J11="",NA(),IFERROR(INDEX(tblHistory[EquityP],10),NA()))</f>
        <v/>
      </c>
      <c r="L11" s="46">
        <f>IF(J11="",NA(),IFERROR(INDEX(tblHistory[FinP],10),NA()))</f>
        <v/>
      </c>
      <c r="M11" s="46">
        <f>IF(J11="",NA(),IFERROR(INDEX(tblHistory[CreditP],10),NA()))</f>
        <v/>
      </c>
      <c r="N11" s="46">
        <f>IF(J11="",NA(),IFERROR(INDEX(tblHistory[Score],10),NA()))</f>
        <v/>
      </c>
    </row>
    <row r="12">
      <c r="G12" s="47">
        <f>G11-7</f>
        <v/>
      </c>
      <c r="H12">
        <f>IF(COUNTIFS(tblHistory[Date],"&gt;="&amp;G12-6,tblHistory[Date],"&lt;="&amp;G12)=0,NA(),_xlfn.MAXIFS(tblHistory[Score],tblHistory[Date],"&gt;="&amp;G12-6,tblHistory[Date],"&lt;="&amp;G12))</f>
        <v/>
      </c>
      <c r="J12" s="48">
        <f>IFERROR(IF(INDEX(tblHistory[Date],11)&gt;MAX(tblHistory[Date])-364,INDEX(tblHistory[Date],11),""),"")</f>
        <v/>
      </c>
      <c r="K12" s="46">
        <f>IF(J12="",NA(),IFERROR(INDEX(tblHistory[EquityP],11),NA()))</f>
        <v/>
      </c>
      <c r="L12" s="46">
        <f>IF(J12="",NA(),IFERROR(INDEX(tblHistory[FinP],11),NA()))</f>
        <v/>
      </c>
      <c r="M12" s="46">
        <f>IF(J12="",NA(),IFERROR(INDEX(tblHistory[CreditP],11),NA()))</f>
        <v/>
      </c>
      <c r="N12" s="46">
        <f>IF(J12="",NA(),IFERROR(INDEX(tblHistory[Score],11),NA()))</f>
        <v/>
      </c>
    </row>
    <row r="13">
      <c r="G13" s="47">
        <f>G12-7</f>
        <v/>
      </c>
      <c r="H13">
        <f>IF(COUNTIFS(tblHistory[Date],"&gt;="&amp;G13-6,tblHistory[Date],"&lt;="&amp;G13)=0,NA(),_xlfn.MAXIFS(tblHistory[Score],tblHistory[Date],"&gt;="&amp;G13-6,tblHistory[Date],"&lt;="&amp;G13))</f>
        <v/>
      </c>
      <c r="J13" s="48">
        <f>IFERROR(IF(INDEX(tblHistory[Date],12)&gt;MAX(tblHistory[Date])-364,INDEX(tblHistory[Date],12),""),"")</f>
        <v/>
      </c>
      <c r="K13" s="46">
        <f>IF(J13="",NA(),IFERROR(INDEX(tblHistory[EquityP],12),NA()))</f>
        <v/>
      </c>
      <c r="L13" s="46">
        <f>IF(J13="",NA(),IFERROR(INDEX(tblHistory[FinP],12),NA()))</f>
        <v/>
      </c>
      <c r="M13" s="46">
        <f>IF(J13="",NA(),IFERROR(INDEX(tblHistory[CreditP],12),NA()))</f>
        <v/>
      </c>
      <c r="N13" s="46">
        <f>IF(J13="",NA(),IFERROR(INDEX(tblHistory[Score],12),NA()))</f>
        <v/>
      </c>
    </row>
    <row r="14">
      <c r="G14" s="47">
        <f>G13-7</f>
        <v/>
      </c>
      <c r="H14">
        <f>IF(COUNTIFS(tblHistory[Date],"&gt;="&amp;G14-6,tblHistory[Date],"&lt;="&amp;G14)=0,NA(),_xlfn.MAXIFS(tblHistory[Score],tblHistory[Date],"&gt;="&amp;G14-6,tblHistory[Date],"&lt;="&amp;G14))</f>
        <v/>
      </c>
      <c r="J14" s="48">
        <f>IFERROR(IF(INDEX(tblHistory[Date],13)&gt;MAX(tblHistory[Date])-364,INDEX(tblHistory[Date],13),""),"")</f>
        <v/>
      </c>
      <c r="K14" s="46">
        <f>IF(J14="",NA(),IFERROR(INDEX(tblHistory[EquityP],13),NA()))</f>
        <v/>
      </c>
      <c r="L14" s="46">
        <f>IF(J14="",NA(),IFERROR(INDEX(tblHistory[FinP],13),NA()))</f>
        <v/>
      </c>
      <c r="M14" s="46">
        <f>IF(J14="",NA(),IFERROR(INDEX(tblHistory[CreditP],13),NA()))</f>
        <v/>
      </c>
      <c r="N14" s="46">
        <f>IF(J14="",NA(),IFERROR(INDEX(tblHistory[Score],13),NA()))</f>
        <v/>
      </c>
    </row>
    <row r="15">
      <c r="G15" s="47">
        <f>G14-7</f>
        <v/>
      </c>
      <c r="H15">
        <f>IF(COUNTIFS(tblHistory[Date],"&gt;="&amp;G15-6,tblHistory[Date],"&lt;="&amp;G15)=0,NA(),_xlfn.MAXIFS(tblHistory[Score],tblHistory[Date],"&gt;="&amp;G15-6,tblHistory[Date],"&lt;="&amp;G15))</f>
        <v/>
      </c>
      <c r="J15" s="48">
        <f>IFERROR(IF(INDEX(tblHistory[Date],14)&gt;MAX(tblHistory[Date])-364,INDEX(tblHistory[Date],14),""),"")</f>
        <v/>
      </c>
      <c r="K15" s="46">
        <f>IF(J15="",NA(),IFERROR(INDEX(tblHistory[EquityP],14),NA()))</f>
        <v/>
      </c>
      <c r="L15" s="46">
        <f>IF(J15="",NA(),IFERROR(INDEX(tblHistory[FinP],14),NA()))</f>
        <v/>
      </c>
      <c r="M15" s="46">
        <f>IF(J15="",NA(),IFERROR(INDEX(tblHistory[CreditP],14),NA()))</f>
        <v/>
      </c>
      <c r="N15" s="46">
        <f>IF(J15="",NA(),IFERROR(INDEX(tblHistory[Score],14),NA()))</f>
        <v/>
      </c>
    </row>
    <row r="16">
      <c r="G16" s="47">
        <f>G15-7</f>
        <v/>
      </c>
      <c r="H16">
        <f>IF(COUNTIFS(tblHistory[Date],"&gt;="&amp;G16-6,tblHistory[Date],"&lt;="&amp;G16)=0,NA(),_xlfn.MAXIFS(tblHistory[Score],tblHistory[Date],"&gt;="&amp;G16-6,tblHistory[Date],"&lt;="&amp;G16))</f>
        <v/>
      </c>
      <c r="J16" s="48">
        <f>IFERROR(IF(INDEX(tblHistory[Date],15)&gt;MAX(tblHistory[Date])-364,INDEX(tblHistory[Date],15),""),"")</f>
        <v/>
      </c>
      <c r="K16" s="46">
        <f>IF(J16="",NA(),IFERROR(INDEX(tblHistory[EquityP],15),NA()))</f>
        <v/>
      </c>
      <c r="L16" s="46">
        <f>IF(J16="",NA(),IFERROR(INDEX(tblHistory[FinP],15),NA()))</f>
        <v/>
      </c>
      <c r="M16" s="46">
        <f>IF(J16="",NA(),IFERROR(INDEX(tblHistory[CreditP],15),NA()))</f>
        <v/>
      </c>
      <c r="N16" s="46">
        <f>IF(J16="",NA(),IFERROR(INDEX(tblHistory[Score],15),NA()))</f>
        <v/>
      </c>
    </row>
    <row r="17">
      <c r="G17" s="47">
        <f>G16-7</f>
        <v/>
      </c>
      <c r="H17">
        <f>IF(COUNTIFS(tblHistory[Date],"&gt;="&amp;G17-6,tblHistory[Date],"&lt;="&amp;G17)=0,NA(),_xlfn.MAXIFS(tblHistory[Score],tblHistory[Date],"&gt;="&amp;G17-6,tblHistory[Date],"&lt;="&amp;G17))</f>
        <v/>
      </c>
      <c r="J17" s="48">
        <f>IFERROR(IF(INDEX(tblHistory[Date],16)&gt;MAX(tblHistory[Date])-364,INDEX(tblHistory[Date],16),""),"")</f>
        <v/>
      </c>
      <c r="K17" s="46">
        <f>IF(J17="",NA(),IFERROR(INDEX(tblHistory[EquityP],16),NA()))</f>
        <v/>
      </c>
      <c r="L17" s="46">
        <f>IF(J17="",NA(),IFERROR(INDEX(tblHistory[FinP],16),NA()))</f>
        <v/>
      </c>
      <c r="M17" s="46">
        <f>IF(J17="",NA(),IFERROR(INDEX(tblHistory[CreditP],16),NA()))</f>
        <v/>
      </c>
      <c r="N17" s="46">
        <f>IF(J17="",NA(),IFERROR(INDEX(tblHistory[Score],16),NA()))</f>
        <v/>
      </c>
    </row>
    <row r="18">
      <c r="G18" s="47">
        <f>G17-7</f>
        <v/>
      </c>
      <c r="H18">
        <f>IF(COUNTIFS(tblHistory[Date],"&gt;="&amp;G18-6,tblHistory[Date],"&lt;="&amp;G18)=0,NA(),_xlfn.MAXIFS(tblHistory[Score],tblHistory[Date],"&gt;="&amp;G18-6,tblHistory[Date],"&lt;="&amp;G18))</f>
        <v/>
      </c>
      <c r="J18" s="48">
        <f>IFERROR(IF(INDEX(tblHistory[Date],17)&gt;MAX(tblHistory[Date])-364,INDEX(tblHistory[Date],17),""),"")</f>
        <v/>
      </c>
      <c r="K18" s="46">
        <f>IF(J18="",NA(),IFERROR(INDEX(tblHistory[EquityP],17),NA()))</f>
        <v/>
      </c>
      <c r="L18" s="46">
        <f>IF(J18="",NA(),IFERROR(INDEX(tblHistory[FinP],17),NA()))</f>
        <v/>
      </c>
      <c r="M18" s="46">
        <f>IF(J18="",NA(),IFERROR(INDEX(tblHistory[CreditP],17),NA()))</f>
        <v/>
      </c>
      <c r="N18" s="46">
        <f>IF(J18="",NA(),IFERROR(INDEX(tblHistory[Score],17),NA()))</f>
        <v/>
      </c>
    </row>
    <row r="19">
      <c r="G19" s="47">
        <f>G18-7</f>
        <v/>
      </c>
      <c r="H19">
        <f>IF(COUNTIFS(tblHistory[Date],"&gt;="&amp;G19-6,tblHistory[Date],"&lt;="&amp;G19)=0,NA(),_xlfn.MAXIFS(tblHistory[Score],tblHistory[Date],"&gt;="&amp;G19-6,tblHistory[Date],"&lt;="&amp;G19))</f>
        <v/>
      </c>
      <c r="J19" s="48">
        <f>IFERROR(IF(INDEX(tblHistory[Date],18)&gt;MAX(tblHistory[Date])-364,INDEX(tblHistory[Date],18),""),"")</f>
        <v/>
      </c>
      <c r="K19" s="46">
        <f>IF(J19="",NA(),IFERROR(INDEX(tblHistory[EquityP],18),NA()))</f>
        <v/>
      </c>
      <c r="L19" s="46">
        <f>IF(J19="",NA(),IFERROR(INDEX(tblHistory[FinP],18),NA()))</f>
        <v/>
      </c>
      <c r="M19" s="46">
        <f>IF(J19="",NA(),IFERROR(INDEX(tblHistory[CreditP],18),NA()))</f>
        <v/>
      </c>
      <c r="N19" s="46">
        <f>IF(J19="",NA(),IFERROR(INDEX(tblHistory[Score],18),NA()))</f>
        <v/>
      </c>
    </row>
    <row r="20">
      <c r="G20" s="47">
        <f>G19-7</f>
        <v/>
      </c>
      <c r="H20">
        <f>IF(COUNTIFS(tblHistory[Date],"&gt;="&amp;G20-6,tblHistory[Date],"&lt;="&amp;G20)=0,NA(),_xlfn.MAXIFS(tblHistory[Score],tblHistory[Date],"&gt;="&amp;G20-6,tblHistory[Date],"&lt;="&amp;G20))</f>
        <v/>
      </c>
      <c r="J20" s="48">
        <f>IFERROR(IF(INDEX(tblHistory[Date],19)&gt;MAX(tblHistory[Date])-364,INDEX(tblHistory[Date],19),""),"")</f>
        <v/>
      </c>
      <c r="K20" s="46">
        <f>IF(J20="",NA(),IFERROR(INDEX(tblHistory[EquityP],19),NA()))</f>
        <v/>
      </c>
      <c r="L20" s="46">
        <f>IF(J20="",NA(),IFERROR(INDEX(tblHistory[FinP],19),NA()))</f>
        <v/>
      </c>
      <c r="M20" s="46">
        <f>IF(J20="",NA(),IFERROR(INDEX(tblHistory[CreditP],19),NA()))</f>
        <v/>
      </c>
      <c r="N20" s="46">
        <f>IF(J20="",NA(),IFERROR(INDEX(tblHistory[Score],19),NA()))</f>
        <v/>
      </c>
    </row>
    <row r="21">
      <c r="G21" s="47">
        <f>G20-7</f>
        <v/>
      </c>
      <c r="H21">
        <f>IF(COUNTIFS(tblHistory[Date],"&gt;="&amp;G21-6,tblHistory[Date],"&lt;="&amp;G21)=0,NA(),_xlfn.MAXIFS(tblHistory[Score],tblHistory[Date],"&gt;="&amp;G21-6,tblHistory[Date],"&lt;="&amp;G21))</f>
        <v/>
      </c>
      <c r="J21" s="48">
        <f>IFERROR(IF(INDEX(tblHistory[Date],20)&gt;MAX(tblHistory[Date])-364,INDEX(tblHistory[Date],20),""),"")</f>
        <v/>
      </c>
      <c r="K21" s="46">
        <f>IF(J21="",NA(),IFERROR(INDEX(tblHistory[EquityP],20),NA()))</f>
        <v/>
      </c>
      <c r="L21" s="46">
        <f>IF(J21="",NA(),IFERROR(INDEX(tblHistory[FinP],20),NA()))</f>
        <v/>
      </c>
      <c r="M21" s="46">
        <f>IF(J21="",NA(),IFERROR(INDEX(tblHistory[CreditP],20),NA()))</f>
        <v/>
      </c>
      <c r="N21" s="46">
        <f>IF(J21="",NA(),IFERROR(INDEX(tblHistory[Score],20),NA()))</f>
        <v/>
      </c>
    </row>
    <row r="22">
      <c r="G22" s="47">
        <f>G21-7</f>
        <v/>
      </c>
      <c r="H22">
        <f>IF(COUNTIFS(tblHistory[Date],"&gt;="&amp;G22-6,tblHistory[Date],"&lt;="&amp;G22)=0,NA(),_xlfn.MAXIFS(tblHistory[Score],tblHistory[Date],"&gt;="&amp;G22-6,tblHistory[Date],"&lt;="&amp;G22))</f>
        <v/>
      </c>
      <c r="J22" s="48">
        <f>IFERROR(IF(INDEX(tblHistory[Date],21)&gt;MAX(tblHistory[Date])-364,INDEX(tblHistory[Date],21),""),"")</f>
        <v/>
      </c>
      <c r="K22" s="46">
        <f>IF(J22="",NA(),IFERROR(INDEX(tblHistory[EquityP],21),NA()))</f>
        <v/>
      </c>
      <c r="L22" s="46">
        <f>IF(J22="",NA(),IFERROR(INDEX(tblHistory[FinP],21),NA()))</f>
        <v/>
      </c>
      <c r="M22" s="46">
        <f>IF(J22="",NA(),IFERROR(INDEX(tblHistory[CreditP],21),NA()))</f>
        <v/>
      </c>
      <c r="N22" s="46">
        <f>IF(J22="",NA(),IFERROR(INDEX(tblHistory[Score],21),NA()))</f>
        <v/>
      </c>
    </row>
    <row r="23">
      <c r="G23" s="47">
        <f>G22-7</f>
        <v/>
      </c>
      <c r="H23">
        <f>IF(COUNTIFS(tblHistory[Date],"&gt;="&amp;G23-6,tblHistory[Date],"&lt;="&amp;G23)=0,NA(),_xlfn.MAXIFS(tblHistory[Score],tblHistory[Date],"&gt;="&amp;G23-6,tblHistory[Date],"&lt;="&amp;G23))</f>
        <v/>
      </c>
      <c r="J23" s="48">
        <f>IFERROR(IF(INDEX(tblHistory[Date],22)&gt;MAX(tblHistory[Date])-364,INDEX(tblHistory[Date],22),""),"")</f>
        <v/>
      </c>
      <c r="K23" s="46">
        <f>IF(J23="",NA(),IFERROR(INDEX(tblHistory[EquityP],22),NA()))</f>
        <v/>
      </c>
      <c r="L23" s="46">
        <f>IF(J23="",NA(),IFERROR(INDEX(tblHistory[FinP],22),NA()))</f>
        <v/>
      </c>
      <c r="M23" s="46">
        <f>IF(J23="",NA(),IFERROR(INDEX(tblHistory[CreditP],22),NA()))</f>
        <v/>
      </c>
      <c r="N23" s="46">
        <f>IF(J23="",NA(),IFERROR(INDEX(tblHistory[Score],22),NA()))</f>
        <v/>
      </c>
    </row>
    <row r="24">
      <c r="G24" s="47">
        <f>G23-7</f>
        <v/>
      </c>
      <c r="H24">
        <f>IF(COUNTIFS(tblHistory[Date],"&gt;="&amp;G24-6,tblHistory[Date],"&lt;="&amp;G24)=0,NA(),_xlfn.MAXIFS(tblHistory[Score],tblHistory[Date],"&gt;="&amp;G24-6,tblHistory[Date],"&lt;="&amp;G24))</f>
        <v/>
      </c>
      <c r="J24" s="48">
        <f>IFERROR(IF(INDEX(tblHistory[Date],23)&gt;MAX(tblHistory[Date])-364,INDEX(tblHistory[Date],23),""),"")</f>
        <v/>
      </c>
      <c r="K24" s="46">
        <f>IF(J24="",NA(),IFERROR(INDEX(tblHistory[EquityP],23),NA()))</f>
        <v/>
      </c>
      <c r="L24" s="46">
        <f>IF(J24="",NA(),IFERROR(INDEX(tblHistory[FinP],23),NA()))</f>
        <v/>
      </c>
      <c r="M24" s="46">
        <f>IF(J24="",NA(),IFERROR(INDEX(tblHistory[CreditP],23),NA()))</f>
        <v/>
      </c>
      <c r="N24" s="46">
        <f>IF(J24="",NA(),IFERROR(INDEX(tblHistory[Score],23),NA()))</f>
        <v/>
      </c>
    </row>
    <row r="25">
      <c r="G25" s="47">
        <f>G24-7</f>
        <v/>
      </c>
      <c r="H25">
        <f>IF(COUNTIFS(tblHistory[Date],"&gt;="&amp;G25-6,tblHistory[Date],"&lt;="&amp;G25)=0,NA(),_xlfn.MAXIFS(tblHistory[Score],tblHistory[Date],"&gt;="&amp;G25-6,tblHistory[Date],"&lt;="&amp;G25))</f>
        <v/>
      </c>
      <c r="J25" s="48">
        <f>IFERROR(IF(INDEX(tblHistory[Date],24)&gt;MAX(tblHistory[Date])-364,INDEX(tblHistory[Date],24),""),"")</f>
        <v/>
      </c>
      <c r="K25" s="46">
        <f>IF(J25="",NA(),IFERROR(INDEX(tblHistory[EquityP],24),NA()))</f>
        <v/>
      </c>
      <c r="L25" s="46">
        <f>IF(J25="",NA(),IFERROR(INDEX(tblHistory[FinP],24),NA()))</f>
        <v/>
      </c>
      <c r="M25" s="46">
        <f>IF(J25="",NA(),IFERROR(INDEX(tblHistory[CreditP],24),NA()))</f>
        <v/>
      </c>
      <c r="N25" s="46">
        <f>IF(J25="",NA(),IFERROR(INDEX(tblHistory[Score],24),NA()))</f>
        <v/>
      </c>
    </row>
    <row r="26">
      <c r="G26" s="47">
        <f>G25-7</f>
        <v/>
      </c>
      <c r="H26">
        <f>IF(COUNTIFS(tblHistory[Date],"&gt;="&amp;G26-6,tblHistory[Date],"&lt;="&amp;G26)=0,NA(),_xlfn.MAXIFS(tblHistory[Score],tblHistory[Date],"&gt;="&amp;G26-6,tblHistory[Date],"&lt;="&amp;G26))</f>
        <v/>
      </c>
      <c r="J26" s="48">
        <f>IFERROR(IF(INDEX(tblHistory[Date],25)&gt;MAX(tblHistory[Date])-364,INDEX(tblHistory[Date],25),""),"")</f>
        <v/>
      </c>
      <c r="K26" s="46">
        <f>IF(J26="",NA(),IFERROR(INDEX(tblHistory[EquityP],25),NA()))</f>
        <v/>
      </c>
      <c r="L26" s="46">
        <f>IF(J26="",NA(),IFERROR(INDEX(tblHistory[FinP],25),NA()))</f>
        <v/>
      </c>
      <c r="M26" s="46">
        <f>IF(J26="",NA(),IFERROR(INDEX(tblHistory[CreditP],25),NA()))</f>
        <v/>
      </c>
      <c r="N26" s="46">
        <f>IF(J26="",NA(),IFERROR(INDEX(tblHistory[Score],25),NA()))</f>
        <v/>
      </c>
    </row>
    <row r="27">
      <c r="G27" s="47">
        <f>G26-7</f>
        <v/>
      </c>
      <c r="H27">
        <f>IF(COUNTIFS(tblHistory[Date],"&gt;="&amp;G27-6,tblHistory[Date],"&lt;="&amp;G27)=0,NA(),_xlfn.MAXIFS(tblHistory[Score],tblHistory[Date],"&gt;="&amp;G27-6,tblHistory[Date],"&lt;="&amp;G27))</f>
        <v/>
      </c>
      <c r="J27" s="48">
        <f>IFERROR(IF(INDEX(tblHistory[Date],26)&gt;MAX(tblHistory[Date])-364,INDEX(tblHistory[Date],26),""),"")</f>
        <v/>
      </c>
      <c r="K27" s="46">
        <f>IF(J27="",NA(),IFERROR(INDEX(tblHistory[EquityP],26),NA()))</f>
        <v/>
      </c>
      <c r="L27" s="46">
        <f>IF(J27="",NA(),IFERROR(INDEX(tblHistory[FinP],26),NA()))</f>
        <v/>
      </c>
      <c r="M27" s="46">
        <f>IF(J27="",NA(),IFERROR(INDEX(tblHistory[CreditP],26),NA()))</f>
        <v/>
      </c>
      <c r="N27" s="46">
        <f>IF(J27="",NA(),IFERROR(INDEX(tblHistory[Score],26),NA()))</f>
        <v/>
      </c>
    </row>
    <row r="28">
      <c r="J28" s="48">
        <f>IFERROR(IF(INDEX(tblHistory[Date],27)&gt;MAX(tblHistory[Date])-364,INDEX(tblHistory[Date],27),""),"")</f>
        <v/>
      </c>
      <c r="K28" s="46">
        <f>IF(J28="",NA(),IFERROR(INDEX(tblHistory[EquityP],27),NA()))</f>
        <v/>
      </c>
      <c r="L28" s="46">
        <f>IF(J28="",NA(),IFERROR(INDEX(tblHistory[FinP],27),NA()))</f>
        <v/>
      </c>
      <c r="M28" s="46">
        <f>IF(J28="",NA(),IFERROR(INDEX(tblHistory[CreditP],27),NA()))</f>
        <v/>
      </c>
      <c r="N28" s="46">
        <f>IF(J28="",NA(),IFERROR(INDEX(tblHistory[Score],27),NA()))</f>
        <v/>
      </c>
    </row>
    <row r="29">
      <c r="J29" s="48">
        <f>IFERROR(IF(INDEX(tblHistory[Date],28)&gt;MAX(tblHistory[Date])-364,INDEX(tblHistory[Date],28),""),"")</f>
        <v/>
      </c>
      <c r="K29" s="46">
        <f>IF(J29="",NA(),IFERROR(INDEX(tblHistory[EquityP],28),NA()))</f>
        <v/>
      </c>
      <c r="L29" s="46">
        <f>IF(J29="",NA(),IFERROR(INDEX(tblHistory[FinP],28),NA()))</f>
        <v/>
      </c>
      <c r="M29" s="46">
        <f>IF(J29="",NA(),IFERROR(INDEX(tblHistory[CreditP],28),NA()))</f>
        <v/>
      </c>
      <c r="N29" s="46">
        <f>IF(J29="",NA(),IFERROR(INDEX(tblHistory[Score],28),NA()))</f>
        <v/>
      </c>
    </row>
    <row r="30">
      <c r="J30" s="48">
        <f>IFERROR(IF(INDEX(tblHistory[Date],29)&gt;MAX(tblHistory[Date])-364,INDEX(tblHistory[Date],29),""),"")</f>
        <v/>
      </c>
      <c r="K30" s="46">
        <f>IF(J30="",NA(),IFERROR(INDEX(tblHistory[EquityP],29),NA()))</f>
        <v/>
      </c>
      <c r="L30" s="46">
        <f>IF(J30="",NA(),IFERROR(INDEX(tblHistory[FinP],29),NA()))</f>
        <v/>
      </c>
      <c r="M30" s="46">
        <f>IF(J30="",NA(),IFERROR(INDEX(tblHistory[CreditP],29),NA()))</f>
        <v/>
      </c>
      <c r="N30" s="46">
        <f>IF(J30="",NA(),IFERROR(INDEX(tblHistory[Score],29),NA()))</f>
        <v/>
      </c>
    </row>
    <row r="31">
      <c r="J31" s="48">
        <f>IFERROR(IF(INDEX(tblHistory[Date],30)&gt;MAX(tblHistory[Date])-364,INDEX(tblHistory[Date],30),""),"")</f>
        <v/>
      </c>
      <c r="K31" s="46">
        <f>IF(J31="",NA(),IFERROR(INDEX(tblHistory[EquityP],30),NA()))</f>
        <v/>
      </c>
      <c r="L31" s="46">
        <f>IF(J31="",NA(),IFERROR(INDEX(tblHistory[FinP],30),NA()))</f>
        <v/>
      </c>
      <c r="M31" s="46">
        <f>IF(J31="",NA(),IFERROR(INDEX(tblHistory[CreditP],30),NA()))</f>
        <v/>
      </c>
      <c r="N31" s="46">
        <f>IF(J31="",NA(),IFERROR(INDEX(tblHistory[Score],30),NA()))</f>
        <v/>
      </c>
    </row>
    <row r="32">
      <c r="J32" s="48">
        <f>IFERROR(IF(INDEX(tblHistory[Date],31)&gt;MAX(tblHistory[Date])-364,INDEX(tblHistory[Date],31),""),"")</f>
        <v/>
      </c>
      <c r="K32" s="46">
        <f>IF(J32="",NA(),IFERROR(INDEX(tblHistory[EquityP],31),NA()))</f>
        <v/>
      </c>
      <c r="L32" s="46">
        <f>IF(J32="",NA(),IFERROR(INDEX(tblHistory[FinP],31),NA()))</f>
        <v/>
      </c>
      <c r="M32" s="46">
        <f>IF(J32="",NA(),IFERROR(INDEX(tblHistory[CreditP],31),NA()))</f>
        <v/>
      </c>
      <c r="N32" s="46">
        <f>IF(J32="",NA(),IFERROR(INDEX(tblHistory[Score],31),NA()))</f>
        <v/>
      </c>
    </row>
    <row r="33">
      <c r="J33" s="48">
        <f>IFERROR(IF(INDEX(tblHistory[Date],32)&gt;MAX(tblHistory[Date])-364,INDEX(tblHistory[Date],32),""),"")</f>
        <v/>
      </c>
      <c r="K33" s="46">
        <f>IF(J33="",NA(),IFERROR(INDEX(tblHistory[EquityP],32),NA()))</f>
        <v/>
      </c>
      <c r="L33" s="46">
        <f>IF(J33="",NA(),IFERROR(INDEX(tblHistory[FinP],32),NA()))</f>
        <v/>
      </c>
      <c r="M33" s="46">
        <f>IF(J33="",NA(),IFERROR(INDEX(tblHistory[CreditP],32),NA()))</f>
        <v/>
      </c>
      <c r="N33" s="46">
        <f>IF(J33="",NA(),IFERROR(INDEX(tblHistory[Score],32),NA()))</f>
        <v/>
      </c>
    </row>
    <row r="34">
      <c r="J34" s="48">
        <f>IFERROR(IF(INDEX(tblHistory[Date],33)&gt;MAX(tblHistory[Date])-364,INDEX(tblHistory[Date],33),""),"")</f>
        <v/>
      </c>
      <c r="K34" s="46">
        <f>IF(J34="",NA(),IFERROR(INDEX(tblHistory[EquityP],33),NA()))</f>
        <v/>
      </c>
      <c r="L34" s="46">
        <f>IF(J34="",NA(),IFERROR(INDEX(tblHistory[FinP],33),NA()))</f>
        <v/>
      </c>
      <c r="M34" s="46">
        <f>IF(J34="",NA(),IFERROR(INDEX(tblHistory[CreditP],33),NA()))</f>
        <v/>
      </c>
      <c r="N34" s="46">
        <f>IF(J34="",NA(),IFERROR(INDEX(tblHistory[Score],33),NA()))</f>
        <v/>
      </c>
    </row>
    <row r="35">
      <c r="J35" s="48">
        <f>IFERROR(IF(INDEX(tblHistory[Date],34)&gt;MAX(tblHistory[Date])-364,INDEX(tblHistory[Date],34),""),"")</f>
        <v/>
      </c>
      <c r="K35" s="46">
        <f>IF(J35="",NA(),IFERROR(INDEX(tblHistory[EquityP],34),NA()))</f>
        <v/>
      </c>
      <c r="L35" s="46">
        <f>IF(J35="",NA(),IFERROR(INDEX(tblHistory[FinP],34),NA()))</f>
        <v/>
      </c>
      <c r="M35" s="46">
        <f>IF(J35="",NA(),IFERROR(INDEX(tblHistory[CreditP],34),NA()))</f>
        <v/>
      </c>
      <c r="N35" s="46">
        <f>IF(J35="",NA(),IFERROR(INDEX(tblHistory[Score],34),NA()))</f>
        <v/>
      </c>
    </row>
    <row r="36">
      <c r="J36" s="48">
        <f>IFERROR(IF(INDEX(tblHistory[Date],35)&gt;MAX(tblHistory[Date])-364,INDEX(tblHistory[Date],35),""),"")</f>
        <v/>
      </c>
      <c r="K36" s="46">
        <f>IF(J36="",NA(),IFERROR(INDEX(tblHistory[EquityP],35),NA()))</f>
        <v/>
      </c>
      <c r="L36" s="46">
        <f>IF(J36="",NA(),IFERROR(INDEX(tblHistory[FinP],35),NA()))</f>
        <v/>
      </c>
      <c r="M36" s="46">
        <f>IF(J36="",NA(),IFERROR(INDEX(tblHistory[CreditP],35),NA()))</f>
        <v/>
      </c>
      <c r="N36" s="46">
        <f>IF(J36="",NA(),IFERROR(INDEX(tblHistory[Score],35),NA()))</f>
        <v/>
      </c>
    </row>
    <row r="37">
      <c r="J37" s="48">
        <f>IFERROR(IF(INDEX(tblHistory[Date],36)&gt;MAX(tblHistory[Date])-364,INDEX(tblHistory[Date],36),""),"")</f>
        <v/>
      </c>
      <c r="K37" s="46">
        <f>IF(J37="",NA(),IFERROR(INDEX(tblHistory[EquityP],36),NA()))</f>
        <v/>
      </c>
      <c r="L37" s="46">
        <f>IF(J37="",NA(),IFERROR(INDEX(tblHistory[FinP],36),NA()))</f>
        <v/>
      </c>
      <c r="M37" s="46">
        <f>IF(J37="",NA(),IFERROR(INDEX(tblHistory[CreditP],36),NA()))</f>
        <v/>
      </c>
      <c r="N37" s="46">
        <f>IF(J37="",NA(),IFERROR(INDEX(tblHistory[Score],36),NA()))</f>
        <v/>
      </c>
    </row>
    <row r="38">
      <c r="J38" s="48">
        <f>IFERROR(IF(INDEX(tblHistory[Date],37)&gt;MAX(tblHistory[Date])-364,INDEX(tblHistory[Date],37),""),"")</f>
        <v/>
      </c>
      <c r="K38" s="46">
        <f>IF(J38="",NA(),IFERROR(INDEX(tblHistory[EquityP],37),NA()))</f>
        <v/>
      </c>
      <c r="L38" s="46">
        <f>IF(J38="",NA(),IFERROR(INDEX(tblHistory[FinP],37),NA()))</f>
        <v/>
      </c>
      <c r="M38" s="46">
        <f>IF(J38="",NA(),IFERROR(INDEX(tblHistory[CreditP],37),NA()))</f>
        <v/>
      </c>
      <c r="N38" s="46">
        <f>IF(J38="",NA(),IFERROR(INDEX(tblHistory[Score],37),NA()))</f>
        <v/>
      </c>
    </row>
    <row r="39">
      <c r="J39" s="48">
        <f>IFERROR(IF(INDEX(tblHistory[Date],38)&gt;MAX(tblHistory[Date])-364,INDEX(tblHistory[Date],38),""),"")</f>
        <v/>
      </c>
      <c r="K39" s="46">
        <f>IF(J39="",NA(),IFERROR(INDEX(tblHistory[EquityP],38),NA()))</f>
        <v/>
      </c>
      <c r="L39" s="46">
        <f>IF(J39="",NA(),IFERROR(INDEX(tblHistory[FinP],38),NA()))</f>
        <v/>
      </c>
      <c r="M39" s="46">
        <f>IF(J39="",NA(),IFERROR(INDEX(tblHistory[CreditP],38),NA()))</f>
        <v/>
      </c>
      <c r="N39" s="46">
        <f>IF(J39="",NA(),IFERROR(INDEX(tblHistory[Score],38),NA()))</f>
        <v/>
      </c>
    </row>
    <row r="40">
      <c r="J40" s="48">
        <f>IFERROR(IF(INDEX(tblHistory[Date],39)&gt;MAX(tblHistory[Date])-364,INDEX(tblHistory[Date],39),""),"")</f>
        <v/>
      </c>
      <c r="K40" s="46">
        <f>IF(J40="",NA(),IFERROR(INDEX(tblHistory[EquityP],39),NA()))</f>
        <v/>
      </c>
      <c r="L40" s="46">
        <f>IF(J40="",NA(),IFERROR(INDEX(tblHistory[FinP],39),NA()))</f>
        <v/>
      </c>
      <c r="M40" s="46">
        <f>IF(J40="",NA(),IFERROR(INDEX(tblHistory[CreditP],39),NA()))</f>
        <v/>
      </c>
      <c r="N40" s="46">
        <f>IF(J40="",NA(),IFERROR(INDEX(tblHistory[Score],39),NA()))</f>
        <v/>
      </c>
    </row>
    <row r="41">
      <c r="J41" s="48">
        <f>IFERROR(IF(INDEX(tblHistory[Date],40)&gt;MAX(tblHistory[Date])-364,INDEX(tblHistory[Date],40),""),"")</f>
        <v/>
      </c>
      <c r="K41" s="46">
        <f>IF(J41="",NA(),IFERROR(INDEX(tblHistory[EquityP],40),NA()))</f>
        <v/>
      </c>
      <c r="L41" s="46">
        <f>IF(J41="",NA(),IFERROR(INDEX(tblHistory[FinP],40),NA()))</f>
        <v/>
      </c>
      <c r="M41" s="46">
        <f>IF(J41="",NA(),IFERROR(INDEX(tblHistory[CreditP],40),NA()))</f>
        <v/>
      </c>
      <c r="N41" s="46">
        <f>IF(J41="",NA(),IFERROR(INDEX(tblHistory[Score],40),NA()))</f>
        <v/>
      </c>
    </row>
    <row r="42">
      <c r="J42" s="48">
        <f>IFERROR(IF(INDEX(tblHistory[Date],41)&gt;MAX(tblHistory[Date])-364,INDEX(tblHistory[Date],41),""),"")</f>
        <v/>
      </c>
      <c r="K42" s="46">
        <f>IF(J42="",NA(),IFERROR(INDEX(tblHistory[EquityP],41),NA()))</f>
        <v/>
      </c>
      <c r="L42" s="46">
        <f>IF(J42="",NA(),IFERROR(INDEX(tblHistory[FinP],41),NA()))</f>
        <v/>
      </c>
      <c r="M42" s="46">
        <f>IF(J42="",NA(),IFERROR(INDEX(tblHistory[CreditP],41),NA()))</f>
        <v/>
      </c>
      <c r="N42" s="46">
        <f>IF(J42="",NA(),IFERROR(INDEX(tblHistory[Score],41),NA()))</f>
        <v/>
      </c>
    </row>
    <row r="43">
      <c r="J43" s="48">
        <f>IFERROR(IF(INDEX(tblHistory[Date],42)&gt;MAX(tblHistory[Date])-364,INDEX(tblHistory[Date],42),""),"")</f>
        <v/>
      </c>
      <c r="K43" s="46">
        <f>IF(J43="",NA(),IFERROR(INDEX(tblHistory[EquityP],42),NA()))</f>
        <v/>
      </c>
      <c r="L43" s="46">
        <f>IF(J43="",NA(),IFERROR(INDEX(tblHistory[FinP],42),NA()))</f>
        <v/>
      </c>
      <c r="M43" s="46">
        <f>IF(J43="",NA(),IFERROR(INDEX(tblHistory[CreditP],42),NA()))</f>
        <v/>
      </c>
      <c r="N43" s="46">
        <f>IF(J43="",NA(),IFERROR(INDEX(tblHistory[Score],42),NA()))</f>
        <v/>
      </c>
    </row>
    <row r="44">
      <c r="J44" s="48">
        <f>IFERROR(IF(INDEX(tblHistory[Date],43)&gt;MAX(tblHistory[Date])-364,INDEX(tblHistory[Date],43),""),"")</f>
        <v/>
      </c>
      <c r="K44" s="46">
        <f>IF(J44="",NA(),IFERROR(INDEX(tblHistory[EquityP],43),NA()))</f>
        <v/>
      </c>
      <c r="L44" s="46">
        <f>IF(J44="",NA(),IFERROR(INDEX(tblHistory[FinP],43),NA()))</f>
        <v/>
      </c>
      <c r="M44" s="46">
        <f>IF(J44="",NA(),IFERROR(INDEX(tblHistory[CreditP],43),NA()))</f>
        <v/>
      </c>
      <c r="N44" s="46">
        <f>IF(J44="",NA(),IFERROR(INDEX(tblHistory[Score],43),NA()))</f>
        <v/>
      </c>
    </row>
    <row r="45">
      <c r="J45" s="48">
        <f>IFERROR(IF(INDEX(tblHistory[Date],44)&gt;MAX(tblHistory[Date])-364,INDEX(tblHistory[Date],44),""),"")</f>
        <v/>
      </c>
      <c r="K45" s="46">
        <f>IF(J45="",NA(),IFERROR(INDEX(tblHistory[EquityP],44),NA()))</f>
        <v/>
      </c>
      <c r="L45" s="46">
        <f>IF(J45="",NA(),IFERROR(INDEX(tblHistory[FinP],44),NA()))</f>
        <v/>
      </c>
      <c r="M45" s="46">
        <f>IF(J45="",NA(),IFERROR(INDEX(tblHistory[CreditP],44),NA()))</f>
        <v/>
      </c>
      <c r="N45" s="46">
        <f>IF(J45="",NA(),IFERROR(INDEX(tblHistory[Score],44),NA()))</f>
        <v/>
      </c>
    </row>
    <row r="46">
      <c r="J46" s="48">
        <f>IFERROR(IF(INDEX(tblHistory[Date],45)&gt;MAX(tblHistory[Date])-364,INDEX(tblHistory[Date],45),""),"")</f>
        <v/>
      </c>
      <c r="K46" s="46">
        <f>IF(J46="",NA(),IFERROR(INDEX(tblHistory[EquityP],45),NA()))</f>
        <v/>
      </c>
      <c r="L46" s="46">
        <f>IF(J46="",NA(),IFERROR(INDEX(tblHistory[FinP],45),NA()))</f>
        <v/>
      </c>
      <c r="M46" s="46">
        <f>IF(J46="",NA(),IFERROR(INDEX(tblHistory[CreditP],45),NA()))</f>
        <v/>
      </c>
      <c r="N46" s="46">
        <f>IF(J46="",NA(),IFERROR(INDEX(tblHistory[Score],45),NA()))</f>
        <v/>
      </c>
    </row>
    <row r="47">
      <c r="J47" s="48">
        <f>IFERROR(IF(INDEX(tblHistory[Date],46)&gt;MAX(tblHistory[Date])-364,INDEX(tblHistory[Date],46),""),"")</f>
        <v/>
      </c>
      <c r="K47" s="46">
        <f>IF(J47="",NA(),IFERROR(INDEX(tblHistory[EquityP],46),NA()))</f>
        <v/>
      </c>
      <c r="L47" s="46">
        <f>IF(J47="",NA(),IFERROR(INDEX(tblHistory[FinP],46),NA()))</f>
        <v/>
      </c>
      <c r="M47" s="46">
        <f>IF(J47="",NA(),IFERROR(INDEX(tblHistory[CreditP],46),NA()))</f>
        <v/>
      </c>
      <c r="N47" s="46">
        <f>IF(J47="",NA(),IFERROR(INDEX(tblHistory[Score],46),NA()))</f>
        <v/>
      </c>
    </row>
    <row r="48">
      <c r="J48" s="48">
        <f>IFERROR(IF(INDEX(tblHistory[Date],47)&gt;MAX(tblHistory[Date])-364,INDEX(tblHistory[Date],47),""),"")</f>
        <v/>
      </c>
      <c r="K48" s="46">
        <f>IF(J48="",NA(),IFERROR(INDEX(tblHistory[EquityP],47),NA()))</f>
        <v/>
      </c>
      <c r="L48" s="46">
        <f>IF(J48="",NA(),IFERROR(INDEX(tblHistory[FinP],47),NA()))</f>
        <v/>
      </c>
      <c r="M48" s="46">
        <f>IF(J48="",NA(),IFERROR(INDEX(tblHistory[CreditP],47),NA()))</f>
        <v/>
      </c>
      <c r="N48" s="46">
        <f>IF(J48="",NA(),IFERROR(INDEX(tblHistory[Score],47),NA()))</f>
        <v/>
      </c>
    </row>
    <row r="49">
      <c r="J49" s="48">
        <f>IFERROR(IF(INDEX(tblHistory[Date],48)&gt;MAX(tblHistory[Date])-364,INDEX(tblHistory[Date],48),""),"")</f>
        <v/>
      </c>
      <c r="K49" s="46">
        <f>IF(J49="",NA(),IFERROR(INDEX(tblHistory[EquityP],48),NA()))</f>
        <v/>
      </c>
      <c r="L49" s="46">
        <f>IF(J49="",NA(),IFERROR(INDEX(tblHistory[FinP],48),NA()))</f>
        <v/>
      </c>
      <c r="M49" s="46">
        <f>IF(J49="",NA(),IFERROR(INDEX(tblHistory[CreditP],48),NA()))</f>
        <v/>
      </c>
      <c r="N49" s="46">
        <f>IF(J49="",NA(),IFERROR(INDEX(tblHistory[Score],48),NA()))</f>
        <v/>
      </c>
    </row>
    <row r="50">
      <c r="J50" s="48">
        <f>IFERROR(IF(INDEX(tblHistory[Date],49)&gt;MAX(tblHistory[Date])-364,INDEX(tblHistory[Date],49),""),"")</f>
        <v/>
      </c>
      <c r="K50" s="46">
        <f>IF(J50="",NA(),IFERROR(INDEX(tblHistory[EquityP],49),NA()))</f>
        <v/>
      </c>
      <c r="L50" s="46">
        <f>IF(J50="",NA(),IFERROR(INDEX(tblHistory[FinP],49),NA()))</f>
        <v/>
      </c>
      <c r="M50" s="46">
        <f>IF(J50="",NA(),IFERROR(INDEX(tblHistory[CreditP],49),NA()))</f>
        <v/>
      </c>
      <c r="N50" s="46">
        <f>IF(J50="",NA(),IFERROR(INDEX(tblHistory[Score],49),NA()))</f>
        <v/>
      </c>
    </row>
    <row r="51">
      <c r="J51" s="48">
        <f>IFERROR(IF(INDEX(tblHistory[Date],50)&gt;MAX(tblHistory[Date])-364,INDEX(tblHistory[Date],50),""),"")</f>
        <v/>
      </c>
      <c r="K51" s="46">
        <f>IF(J51="",NA(),IFERROR(INDEX(tblHistory[EquityP],50),NA()))</f>
        <v/>
      </c>
      <c r="L51" s="46">
        <f>IF(J51="",NA(),IFERROR(INDEX(tblHistory[FinP],50),NA()))</f>
        <v/>
      </c>
      <c r="M51" s="46">
        <f>IF(J51="",NA(),IFERROR(INDEX(tblHistory[CreditP],50),NA()))</f>
        <v/>
      </c>
      <c r="N51" s="46">
        <f>IF(J51="",NA(),IFERROR(INDEX(tblHistory[Score],50),NA()))</f>
        <v/>
      </c>
    </row>
    <row r="52">
      <c r="J52" s="48">
        <f>IFERROR(IF(INDEX(tblHistory[Date],51)&gt;MAX(tblHistory[Date])-364,INDEX(tblHistory[Date],51),""),"")</f>
        <v/>
      </c>
      <c r="K52" s="46">
        <f>IF(J52="",NA(),IFERROR(INDEX(tblHistory[EquityP],51),NA()))</f>
        <v/>
      </c>
      <c r="L52" s="46">
        <f>IF(J52="",NA(),IFERROR(INDEX(tblHistory[FinP],51),NA()))</f>
        <v/>
      </c>
      <c r="M52" s="46">
        <f>IF(J52="",NA(),IFERROR(INDEX(tblHistory[CreditP],51),NA()))</f>
        <v/>
      </c>
      <c r="N52" s="46">
        <f>IF(J52="",NA(),IFERROR(INDEX(tblHistory[Score],51),NA()))</f>
        <v/>
      </c>
    </row>
    <row r="53">
      <c r="J53" s="48">
        <f>IFERROR(IF(INDEX(tblHistory[Date],52)&gt;MAX(tblHistory[Date])-364,INDEX(tblHistory[Date],52),""),"")</f>
        <v/>
      </c>
      <c r="K53" s="46">
        <f>IF(J53="",NA(),IFERROR(INDEX(tblHistory[EquityP],52),NA()))</f>
        <v/>
      </c>
      <c r="L53" s="46">
        <f>IF(J53="",NA(),IFERROR(INDEX(tblHistory[FinP],52),NA()))</f>
        <v/>
      </c>
      <c r="M53" s="46">
        <f>IF(J53="",NA(),IFERROR(INDEX(tblHistory[CreditP],52),NA()))</f>
        <v/>
      </c>
      <c r="N53" s="46">
        <f>IF(J53="",NA(),IFERROR(INDEX(tblHistory[Score],52),NA()))</f>
        <v/>
      </c>
    </row>
    <row r="54">
      <c r="J54" s="48">
        <f>IFERROR(IF(INDEX(tblHistory[Date],53)&gt;MAX(tblHistory[Date])-364,INDEX(tblHistory[Date],53),""),"")</f>
        <v/>
      </c>
      <c r="K54" s="46">
        <f>IF(J54="",NA(),IFERROR(INDEX(tblHistory[EquityP],53),NA()))</f>
        <v/>
      </c>
      <c r="L54" s="46">
        <f>IF(J54="",NA(),IFERROR(INDEX(tblHistory[FinP],53),NA()))</f>
        <v/>
      </c>
      <c r="M54" s="46">
        <f>IF(J54="",NA(),IFERROR(INDEX(tblHistory[CreditP],53),NA()))</f>
        <v/>
      </c>
      <c r="N54" s="46">
        <f>IF(J54="",NA(),IFERROR(INDEX(tblHistory[Score],53),NA()))</f>
        <v/>
      </c>
    </row>
    <row r="55">
      <c r="J55" s="48">
        <f>IFERROR(IF(INDEX(tblHistory[Date],54)&gt;MAX(tblHistory[Date])-364,INDEX(tblHistory[Date],54),""),"")</f>
        <v/>
      </c>
      <c r="K55" s="46">
        <f>IF(J55="",NA(),IFERROR(INDEX(tblHistory[EquityP],54),NA()))</f>
        <v/>
      </c>
      <c r="L55" s="46">
        <f>IF(J55="",NA(),IFERROR(INDEX(tblHistory[FinP],54),NA()))</f>
        <v/>
      </c>
      <c r="M55" s="46">
        <f>IF(J55="",NA(),IFERROR(INDEX(tblHistory[CreditP],54),NA()))</f>
        <v/>
      </c>
      <c r="N55" s="46">
        <f>IF(J55="",NA(),IFERROR(INDEX(tblHistory[Score],54),NA()))</f>
        <v/>
      </c>
    </row>
    <row r="56">
      <c r="J56" s="48">
        <f>IFERROR(IF(INDEX(tblHistory[Date],55)&gt;MAX(tblHistory[Date])-364,INDEX(tblHistory[Date],55),""),"")</f>
        <v/>
      </c>
      <c r="K56" s="46">
        <f>IF(J56="",NA(),IFERROR(INDEX(tblHistory[EquityP],55),NA()))</f>
        <v/>
      </c>
      <c r="L56" s="46">
        <f>IF(J56="",NA(),IFERROR(INDEX(tblHistory[FinP],55),NA()))</f>
        <v/>
      </c>
      <c r="M56" s="46">
        <f>IF(J56="",NA(),IFERROR(INDEX(tblHistory[CreditP],55),NA()))</f>
        <v/>
      </c>
      <c r="N56" s="46">
        <f>IF(J56="",NA(),IFERROR(INDEX(tblHistory[Score],55),NA()))</f>
        <v/>
      </c>
    </row>
    <row r="57">
      <c r="J57" s="48">
        <f>IFERROR(IF(INDEX(tblHistory[Date],56)&gt;MAX(tblHistory[Date])-364,INDEX(tblHistory[Date],56),""),"")</f>
        <v/>
      </c>
      <c r="K57" s="46">
        <f>IF(J57="",NA(),IFERROR(INDEX(tblHistory[EquityP],56),NA()))</f>
        <v/>
      </c>
      <c r="L57" s="46">
        <f>IF(J57="",NA(),IFERROR(INDEX(tblHistory[FinP],56),NA()))</f>
        <v/>
      </c>
      <c r="M57" s="46">
        <f>IF(J57="",NA(),IFERROR(INDEX(tblHistory[CreditP],56),NA()))</f>
        <v/>
      </c>
      <c r="N57" s="46">
        <f>IF(J57="",NA(),IFERROR(INDEX(tblHistory[Score],56),NA()))</f>
        <v/>
      </c>
    </row>
    <row r="58">
      <c r="J58" s="48">
        <f>IFERROR(IF(INDEX(tblHistory[Date],57)&gt;MAX(tblHistory[Date])-364,INDEX(tblHistory[Date],57),""),"")</f>
        <v/>
      </c>
      <c r="K58" s="46">
        <f>IF(J58="",NA(),IFERROR(INDEX(tblHistory[EquityP],57),NA()))</f>
        <v/>
      </c>
      <c r="L58" s="46">
        <f>IF(J58="",NA(),IFERROR(INDEX(tblHistory[FinP],57),NA()))</f>
        <v/>
      </c>
      <c r="M58" s="46">
        <f>IF(J58="",NA(),IFERROR(INDEX(tblHistory[CreditP],57),NA()))</f>
        <v/>
      </c>
      <c r="N58" s="46">
        <f>IF(J58="",NA(),IFERROR(INDEX(tblHistory[Score],57),NA()))</f>
        <v/>
      </c>
    </row>
    <row r="59">
      <c r="J59" s="48">
        <f>IFERROR(IF(INDEX(tblHistory[Date],58)&gt;MAX(tblHistory[Date])-364,INDEX(tblHistory[Date],58),""),"")</f>
        <v/>
      </c>
      <c r="K59" s="46">
        <f>IF(J59="",NA(),IFERROR(INDEX(tblHistory[EquityP],58),NA()))</f>
        <v/>
      </c>
      <c r="L59" s="46">
        <f>IF(J59="",NA(),IFERROR(INDEX(tblHistory[FinP],58),NA()))</f>
        <v/>
      </c>
      <c r="M59" s="46">
        <f>IF(J59="",NA(),IFERROR(INDEX(tblHistory[CreditP],58),NA()))</f>
        <v/>
      </c>
      <c r="N59" s="46">
        <f>IF(J59="",NA(),IFERROR(INDEX(tblHistory[Score],58),NA()))</f>
        <v/>
      </c>
    </row>
    <row r="60">
      <c r="J60" s="48">
        <f>IFERROR(IF(INDEX(tblHistory[Date],59)&gt;MAX(tblHistory[Date])-364,INDEX(tblHistory[Date],59),""),"")</f>
        <v/>
      </c>
      <c r="K60" s="46">
        <f>IF(J60="",NA(),IFERROR(INDEX(tblHistory[EquityP],59),NA()))</f>
        <v/>
      </c>
      <c r="L60" s="46">
        <f>IF(J60="",NA(),IFERROR(INDEX(tblHistory[FinP],59),NA()))</f>
        <v/>
      </c>
      <c r="M60" s="46">
        <f>IF(J60="",NA(),IFERROR(INDEX(tblHistory[CreditP],59),NA()))</f>
        <v/>
      </c>
      <c r="N60" s="46">
        <f>IF(J60="",NA(),IFERROR(INDEX(tblHistory[Score],59),NA()))</f>
        <v/>
      </c>
    </row>
    <row r="61">
      <c r="J61" s="48">
        <f>IFERROR(IF(INDEX(tblHistory[Date],60)&gt;MAX(tblHistory[Date])-364,INDEX(tblHistory[Date],60),""),"")</f>
        <v/>
      </c>
      <c r="K61" s="46">
        <f>IF(J61="",NA(),IFERROR(INDEX(tblHistory[EquityP],60),NA()))</f>
        <v/>
      </c>
      <c r="L61" s="46">
        <f>IF(J61="",NA(),IFERROR(INDEX(tblHistory[FinP],60),NA()))</f>
        <v/>
      </c>
      <c r="M61" s="46">
        <f>IF(J61="",NA(),IFERROR(INDEX(tblHistory[CreditP],60),NA()))</f>
        <v/>
      </c>
      <c r="N61" s="46">
        <f>IF(J61="",NA(),IFERROR(INDEX(tblHistory[Score],60),NA()))</f>
        <v/>
      </c>
    </row>
    <row r="62">
      <c r="J62" s="48">
        <f>IFERROR(IF(INDEX(tblHistory[Date],61)&gt;MAX(tblHistory[Date])-364,INDEX(tblHistory[Date],61),""),"")</f>
        <v/>
      </c>
      <c r="K62" s="46">
        <f>IF(J62="",NA(),IFERROR(INDEX(tblHistory[EquityP],61),NA()))</f>
        <v/>
      </c>
      <c r="L62" s="46">
        <f>IF(J62="",NA(),IFERROR(INDEX(tblHistory[FinP],61),NA()))</f>
        <v/>
      </c>
      <c r="M62" s="46">
        <f>IF(J62="",NA(),IFERROR(INDEX(tblHistory[CreditP],61),NA()))</f>
        <v/>
      </c>
      <c r="N62" s="46">
        <f>IF(J62="",NA(),IFERROR(INDEX(tblHistory[Score],61),NA()))</f>
        <v/>
      </c>
    </row>
    <row r="63">
      <c r="J63" s="48">
        <f>IFERROR(IF(INDEX(tblHistory[Date],62)&gt;MAX(tblHistory[Date])-364,INDEX(tblHistory[Date],62),""),"")</f>
        <v/>
      </c>
      <c r="K63" s="46">
        <f>IF(J63="",NA(),IFERROR(INDEX(tblHistory[EquityP],62),NA()))</f>
        <v/>
      </c>
      <c r="L63" s="46">
        <f>IF(J63="",NA(),IFERROR(INDEX(tblHistory[FinP],62),NA()))</f>
        <v/>
      </c>
      <c r="M63" s="46">
        <f>IF(J63="",NA(),IFERROR(INDEX(tblHistory[CreditP],62),NA()))</f>
        <v/>
      </c>
      <c r="N63" s="46">
        <f>IF(J63="",NA(),IFERROR(INDEX(tblHistory[Score],62),NA()))</f>
        <v/>
      </c>
    </row>
    <row r="64">
      <c r="J64" s="48">
        <f>IFERROR(IF(INDEX(tblHistory[Date],63)&gt;MAX(tblHistory[Date])-364,INDEX(tblHistory[Date],63),""),"")</f>
        <v/>
      </c>
      <c r="K64" s="46">
        <f>IF(J64="",NA(),IFERROR(INDEX(tblHistory[EquityP],63),NA()))</f>
        <v/>
      </c>
      <c r="L64" s="46">
        <f>IF(J64="",NA(),IFERROR(INDEX(tblHistory[FinP],63),NA()))</f>
        <v/>
      </c>
      <c r="M64" s="46">
        <f>IF(J64="",NA(),IFERROR(INDEX(tblHistory[CreditP],63),NA()))</f>
        <v/>
      </c>
      <c r="N64" s="46">
        <f>IF(J64="",NA(),IFERROR(INDEX(tblHistory[Score],63),NA()))</f>
        <v/>
      </c>
    </row>
    <row r="65">
      <c r="J65" s="48">
        <f>IFERROR(IF(INDEX(tblHistory[Date],64)&gt;MAX(tblHistory[Date])-364,INDEX(tblHistory[Date],64),""),"")</f>
        <v/>
      </c>
      <c r="K65" s="46">
        <f>IF(J65="",NA(),IFERROR(INDEX(tblHistory[EquityP],64),NA()))</f>
        <v/>
      </c>
      <c r="L65" s="46">
        <f>IF(J65="",NA(),IFERROR(INDEX(tblHistory[FinP],64),NA()))</f>
        <v/>
      </c>
      <c r="M65" s="46">
        <f>IF(J65="",NA(),IFERROR(INDEX(tblHistory[CreditP],64),NA()))</f>
        <v/>
      </c>
      <c r="N65" s="46">
        <f>IF(J65="",NA(),IFERROR(INDEX(tblHistory[Score],64),NA()))</f>
        <v/>
      </c>
    </row>
    <row r="66">
      <c r="J66" s="48">
        <f>IFERROR(IF(INDEX(tblHistory[Date],65)&gt;MAX(tblHistory[Date])-364,INDEX(tblHistory[Date],65),""),"")</f>
        <v/>
      </c>
      <c r="K66" s="46">
        <f>IF(J66="",NA(),IFERROR(INDEX(tblHistory[EquityP],65),NA()))</f>
        <v/>
      </c>
      <c r="L66" s="46">
        <f>IF(J66="",NA(),IFERROR(INDEX(tblHistory[FinP],65),NA()))</f>
        <v/>
      </c>
      <c r="M66" s="46">
        <f>IF(J66="",NA(),IFERROR(INDEX(tblHistory[CreditP],65),NA()))</f>
        <v/>
      </c>
      <c r="N66" s="46">
        <f>IF(J66="",NA(),IFERROR(INDEX(tblHistory[Score],65),NA()))</f>
        <v/>
      </c>
    </row>
    <row r="67">
      <c r="J67" s="48">
        <f>IFERROR(IF(INDEX(tblHistory[Date],66)&gt;MAX(tblHistory[Date])-364,INDEX(tblHistory[Date],66),""),"")</f>
        <v/>
      </c>
      <c r="K67" s="46">
        <f>IF(J67="",NA(),IFERROR(INDEX(tblHistory[EquityP],66),NA()))</f>
        <v/>
      </c>
      <c r="L67" s="46">
        <f>IF(J67="",NA(),IFERROR(INDEX(tblHistory[FinP],66),NA()))</f>
        <v/>
      </c>
      <c r="M67" s="46">
        <f>IF(J67="",NA(),IFERROR(INDEX(tblHistory[CreditP],66),NA()))</f>
        <v/>
      </c>
      <c r="N67" s="46">
        <f>IF(J67="",NA(),IFERROR(INDEX(tblHistory[Score],66),NA()))</f>
        <v/>
      </c>
    </row>
    <row r="68">
      <c r="J68" s="48">
        <f>IFERROR(IF(INDEX(tblHistory[Date],67)&gt;MAX(tblHistory[Date])-364,INDEX(tblHistory[Date],67),""),"")</f>
        <v/>
      </c>
      <c r="K68" s="46">
        <f>IF(J68="",NA(),IFERROR(INDEX(tblHistory[EquityP],67),NA()))</f>
        <v/>
      </c>
      <c r="L68" s="46">
        <f>IF(J68="",NA(),IFERROR(INDEX(tblHistory[FinP],67),NA()))</f>
        <v/>
      </c>
      <c r="M68" s="46">
        <f>IF(J68="",NA(),IFERROR(INDEX(tblHistory[CreditP],67),NA()))</f>
        <v/>
      </c>
      <c r="N68" s="46">
        <f>IF(J68="",NA(),IFERROR(INDEX(tblHistory[Score],67),NA()))</f>
        <v/>
      </c>
    </row>
    <row r="69">
      <c r="J69" s="48">
        <f>IFERROR(IF(INDEX(tblHistory[Date],68)&gt;MAX(tblHistory[Date])-364,INDEX(tblHistory[Date],68),""),"")</f>
        <v/>
      </c>
      <c r="K69" s="46">
        <f>IF(J69="",NA(),IFERROR(INDEX(tblHistory[EquityP],68),NA()))</f>
        <v/>
      </c>
      <c r="L69" s="46">
        <f>IF(J69="",NA(),IFERROR(INDEX(tblHistory[FinP],68),NA()))</f>
        <v/>
      </c>
      <c r="M69" s="46">
        <f>IF(J69="",NA(),IFERROR(INDEX(tblHistory[CreditP],68),NA()))</f>
        <v/>
      </c>
      <c r="N69" s="46">
        <f>IF(J69="",NA(),IFERROR(INDEX(tblHistory[Score],68),NA()))</f>
        <v/>
      </c>
    </row>
    <row r="70">
      <c r="J70" s="48">
        <f>IFERROR(IF(INDEX(tblHistory[Date],69)&gt;MAX(tblHistory[Date])-364,INDEX(tblHistory[Date],69),""),"")</f>
        <v/>
      </c>
      <c r="K70" s="46">
        <f>IF(J70="",NA(),IFERROR(INDEX(tblHistory[EquityP],69),NA()))</f>
        <v/>
      </c>
      <c r="L70" s="46">
        <f>IF(J70="",NA(),IFERROR(INDEX(tblHistory[FinP],69),NA()))</f>
        <v/>
      </c>
      <c r="M70" s="46">
        <f>IF(J70="",NA(),IFERROR(INDEX(tblHistory[CreditP],69),NA()))</f>
        <v/>
      </c>
      <c r="N70" s="46">
        <f>IF(J70="",NA(),IFERROR(INDEX(tblHistory[Score],69),NA()))</f>
        <v/>
      </c>
    </row>
    <row r="71">
      <c r="J71" s="48">
        <f>IFERROR(IF(INDEX(tblHistory[Date],70)&gt;MAX(tblHistory[Date])-364,INDEX(tblHistory[Date],70),""),"")</f>
        <v/>
      </c>
      <c r="K71" s="46">
        <f>IF(J71="",NA(),IFERROR(INDEX(tblHistory[EquityP],70),NA()))</f>
        <v/>
      </c>
      <c r="L71" s="46">
        <f>IF(J71="",NA(),IFERROR(INDEX(tblHistory[FinP],70),NA()))</f>
        <v/>
      </c>
      <c r="M71" s="46">
        <f>IF(J71="",NA(),IFERROR(INDEX(tblHistory[CreditP],70),NA()))</f>
        <v/>
      </c>
      <c r="N71" s="46">
        <f>IF(J71="",NA(),IFERROR(INDEX(tblHistory[Score],70),NA()))</f>
        <v/>
      </c>
    </row>
    <row r="72">
      <c r="J72" s="48">
        <f>IFERROR(IF(INDEX(tblHistory[Date],71)&gt;MAX(tblHistory[Date])-364,INDEX(tblHistory[Date],71),""),"")</f>
        <v/>
      </c>
      <c r="K72" s="46">
        <f>IF(J72="",NA(),IFERROR(INDEX(tblHistory[EquityP],71),NA()))</f>
        <v/>
      </c>
      <c r="L72" s="46">
        <f>IF(J72="",NA(),IFERROR(INDEX(tblHistory[FinP],71),NA()))</f>
        <v/>
      </c>
      <c r="M72" s="46">
        <f>IF(J72="",NA(),IFERROR(INDEX(tblHistory[CreditP],71),NA()))</f>
        <v/>
      </c>
      <c r="N72" s="46">
        <f>IF(J72="",NA(),IFERROR(INDEX(tblHistory[Score],71),NA()))</f>
        <v/>
      </c>
    </row>
    <row r="73">
      <c r="J73" s="48">
        <f>IFERROR(IF(INDEX(tblHistory[Date],72)&gt;MAX(tblHistory[Date])-364,INDEX(tblHistory[Date],72),""),"")</f>
        <v/>
      </c>
      <c r="K73" s="46">
        <f>IF(J73="",NA(),IFERROR(INDEX(tblHistory[EquityP],72),NA()))</f>
        <v/>
      </c>
      <c r="L73" s="46">
        <f>IF(J73="",NA(),IFERROR(INDEX(tblHistory[FinP],72),NA()))</f>
        <v/>
      </c>
      <c r="M73" s="46">
        <f>IF(J73="",NA(),IFERROR(INDEX(tblHistory[CreditP],72),NA()))</f>
        <v/>
      </c>
      <c r="N73" s="46">
        <f>IF(J73="",NA(),IFERROR(INDEX(tblHistory[Score],72),NA()))</f>
        <v/>
      </c>
    </row>
    <row r="74">
      <c r="J74" s="48">
        <f>IFERROR(IF(INDEX(tblHistory[Date],73)&gt;MAX(tblHistory[Date])-364,INDEX(tblHistory[Date],73),""),"")</f>
        <v/>
      </c>
      <c r="K74" s="46">
        <f>IF(J74="",NA(),IFERROR(INDEX(tblHistory[EquityP],73),NA()))</f>
        <v/>
      </c>
      <c r="L74" s="46">
        <f>IF(J74="",NA(),IFERROR(INDEX(tblHistory[FinP],73),NA()))</f>
        <v/>
      </c>
      <c r="M74" s="46">
        <f>IF(J74="",NA(),IFERROR(INDEX(tblHistory[CreditP],73),NA()))</f>
        <v/>
      </c>
      <c r="N74" s="46">
        <f>IF(J74="",NA(),IFERROR(INDEX(tblHistory[Score],73),NA()))</f>
        <v/>
      </c>
    </row>
    <row r="75">
      <c r="J75" s="48">
        <f>IFERROR(IF(INDEX(tblHistory[Date],74)&gt;MAX(tblHistory[Date])-364,INDEX(tblHistory[Date],74),""),"")</f>
        <v/>
      </c>
      <c r="K75" s="46">
        <f>IF(J75="",NA(),IFERROR(INDEX(tblHistory[EquityP],74),NA()))</f>
        <v/>
      </c>
      <c r="L75" s="46">
        <f>IF(J75="",NA(),IFERROR(INDEX(tblHistory[FinP],74),NA()))</f>
        <v/>
      </c>
      <c r="M75" s="46">
        <f>IF(J75="",NA(),IFERROR(INDEX(tblHistory[CreditP],74),NA()))</f>
        <v/>
      </c>
      <c r="N75" s="46">
        <f>IF(J75="",NA(),IFERROR(INDEX(tblHistory[Score],74),NA()))</f>
        <v/>
      </c>
    </row>
    <row r="76">
      <c r="J76" s="48">
        <f>IFERROR(IF(INDEX(tblHistory[Date],75)&gt;MAX(tblHistory[Date])-364,INDEX(tblHistory[Date],75),""),"")</f>
        <v/>
      </c>
      <c r="K76" s="46">
        <f>IF(J76="",NA(),IFERROR(INDEX(tblHistory[EquityP],75),NA()))</f>
        <v/>
      </c>
      <c r="L76" s="46">
        <f>IF(J76="",NA(),IFERROR(INDEX(tblHistory[FinP],75),NA()))</f>
        <v/>
      </c>
      <c r="M76" s="46">
        <f>IF(J76="",NA(),IFERROR(INDEX(tblHistory[CreditP],75),NA()))</f>
        <v/>
      </c>
      <c r="N76" s="46">
        <f>IF(J76="",NA(),IFERROR(INDEX(tblHistory[Score],75),NA()))</f>
        <v/>
      </c>
    </row>
    <row r="77">
      <c r="J77" s="48">
        <f>IFERROR(IF(INDEX(tblHistory[Date],76)&gt;MAX(tblHistory[Date])-364,INDEX(tblHistory[Date],76),""),"")</f>
        <v/>
      </c>
      <c r="K77" s="46">
        <f>IF(J77="",NA(),IFERROR(INDEX(tblHistory[EquityP],76),NA()))</f>
        <v/>
      </c>
      <c r="L77" s="46">
        <f>IF(J77="",NA(),IFERROR(INDEX(tblHistory[FinP],76),NA()))</f>
        <v/>
      </c>
      <c r="M77" s="46">
        <f>IF(J77="",NA(),IFERROR(INDEX(tblHistory[CreditP],76),NA()))</f>
        <v/>
      </c>
      <c r="N77" s="46">
        <f>IF(J77="",NA(),IFERROR(INDEX(tblHistory[Score],76),NA()))</f>
        <v/>
      </c>
    </row>
    <row r="78">
      <c r="J78" s="48">
        <f>IFERROR(IF(INDEX(tblHistory[Date],77)&gt;MAX(tblHistory[Date])-364,INDEX(tblHistory[Date],77),""),"")</f>
        <v/>
      </c>
      <c r="K78" s="46">
        <f>IF(J78="",NA(),IFERROR(INDEX(tblHistory[EquityP],77),NA()))</f>
        <v/>
      </c>
      <c r="L78" s="46">
        <f>IF(J78="",NA(),IFERROR(INDEX(tblHistory[FinP],77),NA()))</f>
        <v/>
      </c>
      <c r="M78" s="46">
        <f>IF(J78="",NA(),IFERROR(INDEX(tblHistory[CreditP],77),NA()))</f>
        <v/>
      </c>
      <c r="N78" s="46">
        <f>IF(J78="",NA(),IFERROR(INDEX(tblHistory[Score],77),NA()))</f>
        <v/>
      </c>
    </row>
    <row r="79">
      <c r="J79" s="48">
        <f>IFERROR(IF(INDEX(tblHistory[Date],78)&gt;MAX(tblHistory[Date])-364,INDEX(tblHistory[Date],78),""),"")</f>
        <v/>
      </c>
      <c r="K79" s="46">
        <f>IF(J79="",NA(),IFERROR(INDEX(tblHistory[EquityP],78),NA()))</f>
        <v/>
      </c>
      <c r="L79" s="46">
        <f>IF(J79="",NA(),IFERROR(INDEX(tblHistory[FinP],78),NA()))</f>
        <v/>
      </c>
      <c r="M79" s="46">
        <f>IF(J79="",NA(),IFERROR(INDEX(tblHistory[CreditP],78),NA()))</f>
        <v/>
      </c>
      <c r="N79" s="46">
        <f>IF(J79="",NA(),IFERROR(INDEX(tblHistory[Score],78),NA()))</f>
        <v/>
      </c>
    </row>
    <row r="80">
      <c r="J80" s="48">
        <f>IFERROR(IF(INDEX(tblHistory[Date],79)&gt;MAX(tblHistory[Date])-364,INDEX(tblHistory[Date],79),""),"")</f>
        <v/>
      </c>
      <c r="K80" s="46">
        <f>IF(J80="",NA(),IFERROR(INDEX(tblHistory[EquityP],79),NA()))</f>
        <v/>
      </c>
      <c r="L80" s="46">
        <f>IF(J80="",NA(),IFERROR(INDEX(tblHistory[FinP],79),NA()))</f>
        <v/>
      </c>
      <c r="M80" s="46">
        <f>IF(J80="",NA(),IFERROR(INDEX(tblHistory[CreditP],79),NA()))</f>
        <v/>
      </c>
      <c r="N80" s="46">
        <f>IF(J80="",NA(),IFERROR(INDEX(tblHistory[Score],79),NA()))</f>
        <v/>
      </c>
    </row>
    <row r="81">
      <c r="J81" s="48">
        <f>IFERROR(IF(INDEX(tblHistory[Date],80)&gt;MAX(tblHistory[Date])-364,INDEX(tblHistory[Date],80),""),"")</f>
        <v/>
      </c>
      <c r="K81" s="46">
        <f>IF(J81="",NA(),IFERROR(INDEX(tblHistory[EquityP],80),NA()))</f>
        <v/>
      </c>
      <c r="L81" s="46">
        <f>IF(J81="",NA(),IFERROR(INDEX(tblHistory[FinP],80),NA()))</f>
        <v/>
      </c>
      <c r="M81" s="46">
        <f>IF(J81="",NA(),IFERROR(INDEX(tblHistory[CreditP],80),NA()))</f>
        <v/>
      </c>
      <c r="N81" s="46">
        <f>IF(J81="",NA(),IFERROR(INDEX(tblHistory[Score],80),NA()))</f>
        <v/>
      </c>
    </row>
    <row r="82">
      <c r="J82" s="48">
        <f>IFERROR(IF(INDEX(tblHistory[Date],81)&gt;MAX(tblHistory[Date])-364,INDEX(tblHistory[Date],81),""),"")</f>
        <v/>
      </c>
      <c r="K82" s="46">
        <f>IF(J82="",NA(),IFERROR(INDEX(tblHistory[EquityP],81),NA()))</f>
        <v/>
      </c>
      <c r="L82" s="46">
        <f>IF(J82="",NA(),IFERROR(INDEX(tblHistory[FinP],81),NA()))</f>
        <v/>
      </c>
      <c r="M82" s="46">
        <f>IF(J82="",NA(),IFERROR(INDEX(tblHistory[CreditP],81),NA()))</f>
        <v/>
      </c>
      <c r="N82" s="46">
        <f>IF(J82="",NA(),IFERROR(INDEX(tblHistory[Score],81),NA()))</f>
        <v/>
      </c>
    </row>
    <row r="83">
      <c r="J83" s="48">
        <f>IFERROR(IF(INDEX(tblHistory[Date],82)&gt;MAX(tblHistory[Date])-364,INDEX(tblHistory[Date],82),""),"")</f>
        <v/>
      </c>
      <c r="K83" s="46">
        <f>IF(J83="",NA(),IFERROR(INDEX(tblHistory[EquityP],82),NA()))</f>
        <v/>
      </c>
      <c r="L83" s="46">
        <f>IF(J83="",NA(),IFERROR(INDEX(tblHistory[FinP],82),NA()))</f>
        <v/>
      </c>
      <c r="M83" s="46">
        <f>IF(J83="",NA(),IFERROR(INDEX(tblHistory[CreditP],82),NA()))</f>
        <v/>
      </c>
      <c r="N83" s="46">
        <f>IF(J83="",NA(),IFERROR(INDEX(tblHistory[Score],82),NA()))</f>
        <v/>
      </c>
    </row>
    <row r="84">
      <c r="J84" s="48">
        <f>IFERROR(IF(INDEX(tblHistory[Date],83)&gt;MAX(tblHistory[Date])-364,INDEX(tblHistory[Date],83),""),"")</f>
        <v/>
      </c>
      <c r="K84" s="46">
        <f>IF(J84="",NA(),IFERROR(INDEX(tblHistory[EquityP],83),NA()))</f>
        <v/>
      </c>
      <c r="L84" s="46">
        <f>IF(J84="",NA(),IFERROR(INDEX(tblHistory[FinP],83),NA()))</f>
        <v/>
      </c>
      <c r="M84" s="46">
        <f>IF(J84="",NA(),IFERROR(INDEX(tblHistory[CreditP],83),NA()))</f>
        <v/>
      </c>
      <c r="N84" s="46">
        <f>IF(J84="",NA(),IFERROR(INDEX(tblHistory[Score],83),NA()))</f>
        <v/>
      </c>
    </row>
    <row r="85">
      <c r="J85" s="48">
        <f>IFERROR(IF(INDEX(tblHistory[Date],84)&gt;MAX(tblHistory[Date])-364,INDEX(tblHistory[Date],84),""),"")</f>
        <v/>
      </c>
      <c r="K85" s="46">
        <f>IF(J85="",NA(),IFERROR(INDEX(tblHistory[EquityP],84),NA()))</f>
        <v/>
      </c>
      <c r="L85" s="46">
        <f>IF(J85="",NA(),IFERROR(INDEX(tblHistory[FinP],84),NA()))</f>
        <v/>
      </c>
      <c r="M85" s="46">
        <f>IF(J85="",NA(),IFERROR(INDEX(tblHistory[CreditP],84),NA()))</f>
        <v/>
      </c>
      <c r="N85" s="46">
        <f>IF(J85="",NA(),IFERROR(INDEX(tblHistory[Score],84),NA()))</f>
        <v/>
      </c>
    </row>
    <row r="86">
      <c r="J86" s="48">
        <f>IFERROR(IF(INDEX(tblHistory[Date],85)&gt;MAX(tblHistory[Date])-364,INDEX(tblHistory[Date],85),""),"")</f>
        <v/>
      </c>
      <c r="K86" s="46">
        <f>IF(J86="",NA(),IFERROR(INDEX(tblHistory[EquityP],85),NA()))</f>
        <v/>
      </c>
      <c r="L86" s="46">
        <f>IF(J86="",NA(),IFERROR(INDEX(tblHistory[FinP],85),NA()))</f>
        <v/>
      </c>
      <c r="M86" s="46">
        <f>IF(J86="",NA(),IFERROR(INDEX(tblHistory[CreditP],85),NA()))</f>
        <v/>
      </c>
      <c r="N86" s="46">
        <f>IF(J86="",NA(),IFERROR(INDEX(tblHistory[Score],85),NA()))</f>
        <v/>
      </c>
    </row>
    <row r="87">
      <c r="J87" s="48">
        <f>IFERROR(IF(INDEX(tblHistory[Date],86)&gt;MAX(tblHistory[Date])-364,INDEX(tblHistory[Date],86),""),"")</f>
        <v/>
      </c>
      <c r="K87" s="46">
        <f>IF(J87="",NA(),IFERROR(INDEX(tblHistory[EquityP],86),NA()))</f>
        <v/>
      </c>
      <c r="L87" s="46">
        <f>IF(J87="",NA(),IFERROR(INDEX(tblHistory[FinP],86),NA()))</f>
        <v/>
      </c>
      <c r="M87" s="46">
        <f>IF(J87="",NA(),IFERROR(INDEX(tblHistory[CreditP],86),NA()))</f>
        <v/>
      </c>
      <c r="N87" s="46">
        <f>IF(J87="",NA(),IFERROR(INDEX(tblHistory[Score],86),NA()))</f>
        <v/>
      </c>
    </row>
    <row r="88">
      <c r="J88" s="48">
        <f>IFERROR(IF(INDEX(tblHistory[Date],87)&gt;MAX(tblHistory[Date])-364,INDEX(tblHistory[Date],87),""),"")</f>
        <v/>
      </c>
      <c r="K88" s="46">
        <f>IF(J88="",NA(),IFERROR(INDEX(tblHistory[EquityP],87),NA()))</f>
        <v/>
      </c>
      <c r="L88" s="46">
        <f>IF(J88="",NA(),IFERROR(INDEX(tblHistory[FinP],87),NA()))</f>
        <v/>
      </c>
      <c r="M88" s="46">
        <f>IF(J88="",NA(),IFERROR(INDEX(tblHistory[CreditP],87),NA()))</f>
        <v/>
      </c>
      <c r="N88" s="46">
        <f>IF(J88="",NA(),IFERROR(INDEX(tblHistory[Score],87),NA()))</f>
        <v/>
      </c>
    </row>
    <row r="89">
      <c r="J89" s="48">
        <f>IFERROR(IF(INDEX(tblHistory[Date],88)&gt;MAX(tblHistory[Date])-364,INDEX(tblHistory[Date],88),""),"")</f>
        <v/>
      </c>
      <c r="K89" s="46">
        <f>IF(J89="",NA(),IFERROR(INDEX(tblHistory[EquityP],88),NA()))</f>
        <v/>
      </c>
      <c r="L89" s="46">
        <f>IF(J89="",NA(),IFERROR(INDEX(tblHistory[FinP],88),NA()))</f>
        <v/>
      </c>
      <c r="M89" s="46">
        <f>IF(J89="",NA(),IFERROR(INDEX(tblHistory[CreditP],88),NA()))</f>
        <v/>
      </c>
      <c r="N89" s="46">
        <f>IF(J89="",NA(),IFERROR(INDEX(tblHistory[Score],88),NA()))</f>
        <v/>
      </c>
    </row>
    <row r="90">
      <c r="J90" s="48">
        <f>IFERROR(IF(INDEX(tblHistory[Date],89)&gt;MAX(tblHistory[Date])-364,INDEX(tblHistory[Date],89),""),"")</f>
        <v/>
      </c>
      <c r="K90" s="46">
        <f>IF(J90="",NA(),IFERROR(INDEX(tblHistory[EquityP],89),NA()))</f>
        <v/>
      </c>
      <c r="L90" s="46">
        <f>IF(J90="",NA(),IFERROR(INDEX(tblHistory[FinP],89),NA()))</f>
        <v/>
      </c>
      <c r="M90" s="46">
        <f>IF(J90="",NA(),IFERROR(INDEX(tblHistory[CreditP],89),NA()))</f>
        <v/>
      </c>
      <c r="N90" s="46">
        <f>IF(J90="",NA(),IFERROR(INDEX(tblHistory[Score],89),NA()))</f>
        <v/>
      </c>
    </row>
    <row r="91">
      <c r="J91" s="48">
        <f>IFERROR(IF(INDEX(tblHistory[Date],90)&gt;MAX(tblHistory[Date])-364,INDEX(tblHistory[Date],90),""),"")</f>
        <v/>
      </c>
      <c r="K91" s="46">
        <f>IF(J91="",NA(),IFERROR(INDEX(tblHistory[EquityP],90),NA()))</f>
        <v/>
      </c>
      <c r="L91" s="46">
        <f>IF(J91="",NA(),IFERROR(INDEX(tblHistory[FinP],90),NA()))</f>
        <v/>
      </c>
      <c r="M91" s="46">
        <f>IF(J91="",NA(),IFERROR(INDEX(tblHistory[CreditP],90),NA()))</f>
        <v/>
      </c>
      <c r="N91" s="46">
        <f>IF(J91="",NA(),IFERROR(INDEX(tblHistory[Score],90),NA()))</f>
        <v/>
      </c>
    </row>
    <row r="92">
      <c r="J92" s="48">
        <f>IFERROR(IF(INDEX(tblHistory[Date],91)&gt;MAX(tblHistory[Date])-364,INDEX(tblHistory[Date],91),""),"")</f>
        <v/>
      </c>
      <c r="K92" s="46">
        <f>IF(J92="",NA(),IFERROR(INDEX(tblHistory[EquityP],91),NA()))</f>
        <v/>
      </c>
      <c r="L92" s="46">
        <f>IF(J92="",NA(),IFERROR(INDEX(tblHistory[FinP],91),NA()))</f>
        <v/>
      </c>
      <c r="M92" s="46">
        <f>IF(J92="",NA(),IFERROR(INDEX(tblHistory[CreditP],91),NA()))</f>
        <v/>
      </c>
      <c r="N92" s="46">
        <f>IF(J92="",NA(),IFERROR(INDEX(tblHistory[Score],91),NA()))</f>
        <v/>
      </c>
    </row>
    <row r="93">
      <c r="J93" s="48">
        <f>IFERROR(IF(INDEX(tblHistory[Date],92)&gt;MAX(tblHistory[Date])-364,INDEX(tblHistory[Date],92),""),"")</f>
        <v/>
      </c>
      <c r="K93" s="46">
        <f>IF(J93="",NA(),IFERROR(INDEX(tblHistory[EquityP],92),NA()))</f>
        <v/>
      </c>
      <c r="L93" s="46">
        <f>IF(J93="",NA(),IFERROR(INDEX(tblHistory[FinP],92),NA()))</f>
        <v/>
      </c>
      <c r="M93" s="46">
        <f>IF(J93="",NA(),IFERROR(INDEX(tblHistory[CreditP],92),NA()))</f>
        <v/>
      </c>
      <c r="N93" s="46">
        <f>IF(J93="",NA(),IFERROR(INDEX(tblHistory[Score],92),NA()))</f>
        <v/>
      </c>
    </row>
    <row r="94">
      <c r="J94" s="48">
        <f>IFERROR(IF(INDEX(tblHistory[Date],93)&gt;MAX(tblHistory[Date])-364,INDEX(tblHistory[Date],93),""),"")</f>
        <v/>
      </c>
      <c r="K94" s="46">
        <f>IF(J94="",NA(),IFERROR(INDEX(tblHistory[EquityP],93),NA()))</f>
        <v/>
      </c>
      <c r="L94" s="46">
        <f>IF(J94="",NA(),IFERROR(INDEX(tblHistory[FinP],93),NA()))</f>
        <v/>
      </c>
      <c r="M94" s="46">
        <f>IF(J94="",NA(),IFERROR(INDEX(tblHistory[CreditP],93),NA()))</f>
        <v/>
      </c>
      <c r="N94" s="46">
        <f>IF(J94="",NA(),IFERROR(INDEX(tblHistory[Score],93),NA()))</f>
        <v/>
      </c>
    </row>
    <row r="95">
      <c r="J95" s="48">
        <f>IFERROR(IF(INDEX(tblHistory[Date],94)&gt;MAX(tblHistory[Date])-364,INDEX(tblHistory[Date],94),""),"")</f>
        <v/>
      </c>
      <c r="K95" s="46">
        <f>IF(J95="",NA(),IFERROR(INDEX(tblHistory[EquityP],94),NA()))</f>
        <v/>
      </c>
      <c r="L95" s="46">
        <f>IF(J95="",NA(),IFERROR(INDEX(tblHistory[FinP],94),NA()))</f>
        <v/>
      </c>
      <c r="M95" s="46">
        <f>IF(J95="",NA(),IFERROR(INDEX(tblHistory[CreditP],94),NA()))</f>
        <v/>
      </c>
      <c r="N95" s="46">
        <f>IF(J95="",NA(),IFERROR(INDEX(tblHistory[Score],94),NA()))</f>
        <v/>
      </c>
    </row>
    <row r="96">
      <c r="J96" s="48">
        <f>IFERROR(IF(INDEX(tblHistory[Date],95)&gt;MAX(tblHistory[Date])-364,INDEX(tblHistory[Date],95),""),"")</f>
        <v/>
      </c>
      <c r="K96" s="46">
        <f>IF(J96="",NA(),IFERROR(INDEX(tblHistory[EquityP],95),NA()))</f>
        <v/>
      </c>
      <c r="L96" s="46">
        <f>IF(J96="",NA(),IFERROR(INDEX(tblHistory[FinP],95),NA()))</f>
        <v/>
      </c>
      <c r="M96" s="46">
        <f>IF(J96="",NA(),IFERROR(INDEX(tblHistory[CreditP],95),NA()))</f>
        <v/>
      </c>
      <c r="N96" s="46">
        <f>IF(J96="",NA(),IFERROR(INDEX(tblHistory[Score],95),NA()))</f>
        <v/>
      </c>
    </row>
    <row r="97">
      <c r="J97" s="48">
        <f>IFERROR(IF(INDEX(tblHistory[Date],96)&gt;MAX(tblHistory[Date])-364,INDEX(tblHistory[Date],96),""),"")</f>
        <v/>
      </c>
      <c r="K97" s="46">
        <f>IF(J97="",NA(),IFERROR(INDEX(tblHistory[EquityP],96),NA()))</f>
        <v/>
      </c>
      <c r="L97" s="46">
        <f>IF(J97="",NA(),IFERROR(INDEX(tblHistory[FinP],96),NA()))</f>
        <v/>
      </c>
      <c r="M97" s="46">
        <f>IF(J97="",NA(),IFERROR(INDEX(tblHistory[CreditP],96),NA()))</f>
        <v/>
      </c>
      <c r="N97" s="46">
        <f>IF(J97="",NA(),IFERROR(INDEX(tblHistory[Score],96),NA()))</f>
        <v/>
      </c>
    </row>
    <row r="98">
      <c r="J98" s="48">
        <f>IFERROR(IF(INDEX(tblHistory[Date],97)&gt;MAX(tblHistory[Date])-364,INDEX(tblHistory[Date],97),""),"")</f>
        <v/>
      </c>
      <c r="K98" s="46">
        <f>IF(J98="",NA(),IFERROR(INDEX(tblHistory[EquityP],97),NA()))</f>
        <v/>
      </c>
      <c r="L98" s="46">
        <f>IF(J98="",NA(),IFERROR(INDEX(tblHistory[FinP],97),NA()))</f>
        <v/>
      </c>
      <c r="M98" s="46">
        <f>IF(J98="",NA(),IFERROR(INDEX(tblHistory[CreditP],97),NA()))</f>
        <v/>
      </c>
      <c r="N98" s="46">
        <f>IF(J98="",NA(),IFERROR(INDEX(tblHistory[Score],97),NA()))</f>
        <v/>
      </c>
    </row>
    <row r="99">
      <c r="J99" s="48">
        <f>IFERROR(IF(INDEX(tblHistory[Date],98)&gt;MAX(tblHistory[Date])-364,INDEX(tblHistory[Date],98),""),"")</f>
        <v/>
      </c>
      <c r="K99" s="46">
        <f>IF(J99="",NA(),IFERROR(INDEX(tblHistory[EquityP],98),NA()))</f>
        <v/>
      </c>
      <c r="L99" s="46">
        <f>IF(J99="",NA(),IFERROR(INDEX(tblHistory[FinP],98),NA()))</f>
        <v/>
      </c>
      <c r="M99" s="46">
        <f>IF(J99="",NA(),IFERROR(INDEX(tblHistory[CreditP],98),NA()))</f>
        <v/>
      </c>
      <c r="N99" s="46">
        <f>IF(J99="",NA(),IFERROR(INDEX(tblHistory[Score],98),NA()))</f>
        <v/>
      </c>
    </row>
    <row r="100">
      <c r="J100" s="48">
        <f>IFERROR(IF(INDEX(tblHistory[Date],99)&gt;MAX(tblHistory[Date])-364,INDEX(tblHistory[Date],99),""),"")</f>
        <v/>
      </c>
      <c r="K100" s="46">
        <f>IF(J100="",NA(),IFERROR(INDEX(tblHistory[EquityP],99),NA()))</f>
        <v/>
      </c>
      <c r="L100" s="46">
        <f>IF(J100="",NA(),IFERROR(INDEX(tblHistory[FinP],99),NA()))</f>
        <v/>
      </c>
      <c r="M100" s="46">
        <f>IF(J100="",NA(),IFERROR(INDEX(tblHistory[CreditP],99),NA()))</f>
        <v/>
      </c>
      <c r="N100" s="46">
        <f>IF(J100="",NA(),IFERROR(INDEX(tblHistory[Score],99),NA()))</f>
        <v/>
      </c>
    </row>
    <row r="101">
      <c r="J101" s="48">
        <f>IFERROR(IF(INDEX(tblHistory[Date],100)&gt;MAX(tblHistory[Date])-364,INDEX(tblHistory[Date],100),""),"")</f>
        <v/>
      </c>
      <c r="K101" s="46">
        <f>IF(J101="",NA(),IFERROR(INDEX(tblHistory[EquityP],100),NA()))</f>
        <v/>
      </c>
      <c r="L101" s="46">
        <f>IF(J101="",NA(),IFERROR(INDEX(tblHistory[FinP],100),NA()))</f>
        <v/>
      </c>
      <c r="M101" s="46">
        <f>IF(J101="",NA(),IFERROR(INDEX(tblHistory[CreditP],100),NA()))</f>
        <v/>
      </c>
      <c r="N101" s="46">
        <f>IF(J101="",NA(),IFERROR(INDEX(tblHistory[Score],100),NA()))</f>
        <v/>
      </c>
    </row>
    <row r="102">
      <c r="J102" s="48">
        <f>IFERROR(IF(INDEX(tblHistory[Date],101)&gt;MAX(tblHistory[Date])-364,INDEX(tblHistory[Date],101),""),"")</f>
        <v/>
      </c>
      <c r="K102" s="46">
        <f>IF(J102="",NA(),IFERROR(INDEX(tblHistory[EquityP],101),NA()))</f>
        <v/>
      </c>
      <c r="L102" s="46">
        <f>IF(J102="",NA(),IFERROR(INDEX(tblHistory[FinP],101),NA()))</f>
        <v/>
      </c>
      <c r="M102" s="46">
        <f>IF(J102="",NA(),IFERROR(INDEX(tblHistory[CreditP],101),NA()))</f>
        <v/>
      </c>
      <c r="N102" s="46">
        <f>IF(J102="",NA(),IFERROR(INDEX(tblHistory[Score],101),NA()))</f>
        <v/>
      </c>
    </row>
    <row r="103">
      <c r="J103" s="48">
        <f>IFERROR(IF(INDEX(tblHistory[Date],102)&gt;MAX(tblHistory[Date])-364,INDEX(tblHistory[Date],102),""),"")</f>
        <v/>
      </c>
      <c r="K103" s="46">
        <f>IF(J103="",NA(),IFERROR(INDEX(tblHistory[EquityP],102),NA()))</f>
        <v/>
      </c>
      <c r="L103" s="46">
        <f>IF(J103="",NA(),IFERROR(INDEX(tblHistory[FinP],102),NA()))</f>
        <v/>
      </c>
      <c r="M103" s="46">
        <f>IF(J103="",NA(),IFERROR(INDEX(tblHistory[CreditP],102),NA()))</f>
        <v/>
      </c>
      <c r="N103" s="46">
        <f>IF(J103="",NA(),IFERROR(INDEX(tblHistory[Score],102),NA()))</f>
        <v/>
      </c>
    </row>
    <row r="104">
      <c r="J104" s="48">
        <f>IFERROR(IF(INDEX(tblHistory[Date],103)&gt;MAX(tblHistory[Date])-364,INDEX(tblHistory[Date],103),""),"")</f>
        <v/>
      </c>
      <c r="K104" s="46">
        <f>IF(J104="",NA(),IFERROR(INDEX(tblHistory[EquityP],103),NA()))</f>
        <v/>
      </c>
      <c r="L104" s="46">
        <f>IF(J104="",NA(),IFERROR(INDEX(tblHistory[FinP],103),NA()))</f>
        <v/>
      </c>
      <c r="M104" s="46">
        <f>IF(J104="",NA(),IFERROR(INDEX(tblHistory[CreditP],103),NA()))</f>
        <v/>
      </c>
      <c r="N104" s="46">
        <f>IF(J104="",NA(),IFERROR(INDEX(tblHistory[Score],103),NA()))</f>
        <v/>
      </c>
    </row>
    <row r="105">
      <c r="J105" s="48">
        <f>IFERROR(IF(INDEX(tblHistory[Date],104)&gt;MAX(tblHistory[Date])-364,INDEX(tblHistory[Date],104),""),"")</f>
        <v/>
      </c>
      <c r="K105" s="46">
        <f>IF(J105="",NA(),IFERROR(INDEX(tblHistory[EquityP],104),NA()))</f>
        <v/>
      </c>
      <c r="L105" s="46">
        <f>IF(J105="",NA(),IFERROR(INDEX(tblHistory[FinP],104),NA()))</f>
        <v/>
      </c>
      <c r="M105" s="46">
        <f>IF(J105="",NA(),IFERROR(INDEX(tblHistory[CreditP],104),NA()))</f>
        <v/>
      </c>
      <c r="N105" s="46">
        <f>IF(J105="",NA(),IFERROR(INDEX(tblHistory[Score],104),NA()))</f>
        <v/>
      </c>
    </row>
    <row r="106">
      <c r="J106" s="48">
        <f>IFERROR(IF(INDEX(tblHistory[Date],105)&gt;MAX(tblHistory[Date])-364,INDEX(tblHistory[Date],105),""),"")</f>
        <v/>
      </c>
      <c r="K106" s="46">
        <f>IF(J106="",NA(),IFERROR(INDEX(tblHistory[EquityP],105),NA()))</f>
        <v/>
      </c>
      <c r="L106" s="46">
        <f>IF(J106="",NA(),IFERROR(INDEX(tblHistory[FinP],105),NA()))</f>
        <v/>
      </c>
      <c r="M106" s="46">
        <f>IF(J106="",NA(),IFERROR(INDEX(tblHistory[CreditP],105),NA()))</f>
        <v/>
      </c>
      <c r="N106" s="46">
        <f>IF(J106="",NA(),IFERROR(INDEX(tblHistory[Score],105),NA()))</f>
        <v/>
      </c>
    </row>
    <row r="107">
      <c r="J107" s="48">
        <f>IFERROR(IF(INDEX(tblHistory[Date],106)&gt;MAX(tblHistory[Date])-364,INDEX(tblHistory[Date],106),""),"")</f>
        <v/>
      </c>
      <c r="K107" s="46">
        <f>IF(J107="",NA(),IFERROR(INDEX(tblHistory[EquityP],106),NA()))</f>
        <v/>
      </c>
      <c r="L107" s="46">
        <f>IF(J107="",NA(),IFERROR(INDEX(tblHistory[FinP],106),NA()))</f>
        <v/>
      </c>
      <c r="M107" s="46">
        <f>IF(J107="",NA(),IFERROR(INDEX(tblHistory[CreditP],106),NA()))</f>
        <v/>
      </c>
      <c r="N107" s="46">
        <f>IF(J107="",NA(),IFERROR(INDEX(tblHistory[Score],106),NA()))</f>
        <v/>
      </c>
    </row>
    <row r="108">
      <c r="J108" s="48">
        <f>IFERROR(IF(INDEX(tblHistory[Date],107)&gt;MAX(tblHistory[Date])-364,INDEX(tblHistory[Date],107),""),"")</f>
        <v/>
      </c>
      <c r="K108" s="46">
        <f>IF(J108="",NA(),IFERROR(INDEX(tblHistory[EquityP],107),NA()))</f>
        <v/>
      </c>
      <c r="L108" s="46">
        <f>IF(J108="",NA(),IFERROR(INDEX(tblHistory[FinP],107),NA()))</f>
        <v/>
      </c>
      <c r="M108" s="46">
        <f>IF(J108="",NA(),IFERROR(INDEX(tblHistory[CreditP],107),NA()))</f>
        <v/>
      </c>
      <c r="N108" s="46">
        <f>IF(J108="",NA(),IFERROR(INDEX(tblHistory[Score],107),NA()))</f>
        <v/>
      </c>
    </row>
    <row r="109">
      <c r="J109" s="48">
        <f>IFERROR(IF(INDEX(tblHistory[Date],108)&gt;MAX(tblHistory[Date])-364,INDEX(tblHistory[Date],108),""),"")</f>
        <v/>
      </c>
      <c r="K109" s="46">
        <f>IF(J109="",NA(),IFERROR(INDEX(tblHistory[EquityP],108),NA()))</f>
        <v/>
      </c>
      <c r="L109" s="46">
        <f>IF(J109="",NA(),IFERROR(INDEX(tblHistory[FinP],108),NA()))</f>
        <v/>
      </c>
      <c r="M109" s="46">
        <f>IF(J109="",NA(),IFERROR(INDEX(tblHistory[CreditP],108),NA()))</f>
        <v/>
      </c>
      <c r="N109" s="46">
        <f>IF(J109="",NA(),IFERROR(INDEX(tblHistory[Score],108),NA()))</f>
        <v/>
      </c>
    </row>
    <row r="110">
      <c r="J110" s="48">
        <f>IFERROR(IF(INDEX(tblHistory[Date],109)&gt;MAX(tblHistory[Date])-364,INDEX(tblHistory[Date],109),""),"")</f>
        <v/>
      </c>
      <c r="K110" s="46">
        <f>IF(J110="",NA(),IFERROR(INDEX(tblHistory[EquityP],109),NA()))</f>
        <v/>
      </c>
      <c r="L110" s="46">
        <f>IF(J110="",NA(),IFERROR(INDEX(tblHistory[FinP],109),NA()))</f>
        <v/>
      </c>
      <c r="M110" s="46">
        <f>IF(J110="",NA(),IFERROR(INDEX(tblHistory[CreditP],109),NA()))</f>
        <v/>
      </c>
      <c r="N110" s="46">
        <f>IF(J110="",NA(),IFERROR(INDEX(tblHistory[Score],109),NA()))</f>
        <v/>
      </c>
    </row>
    <row r="111">
      <c r="J111" s="48">
        <f>IFERROR(IF(INDEX(tblHistory[Date],110)&gt;MAX(tblHistory[Date])-364,INDEX(tblHistory[Date],110),""),"")</f>
        <v/>
      </c>
      <c r="K111" s="46">
        <f>IF(J111="",NA(),IFERROR(INDEX(tblHistory[EquityP],110),NA()))</f>
        <v/>
      </c>
      <c r="L111" s="46">
        <f>IF(J111="",NA(),IFERROR(INDEX(tblHistory[FinP],110),NA()))</f>
        <v/>
      </c>
      <c r="M111" s="46">
        <f>IF(J111="",NA(),IFERROR(INDEX(tblHistory[CreditP],110),NA()))</f>
        <v/>
      </c>
      <c r="N111" s="46">
        <f>IF(J111="",NA(),IFERROR(INDEX(tblHistory[Score],110),NA()))</f>
        <v/>
      </c>
    </row>
    <row r="112">
      <c r="J112" s="48">
        <f>IFERROR(IF(INDEX(tblHistory[Date],111)&gt;MAX(tblHistory[Date])-364,INDEX(tblHistory[Date],111),""),"")</f>
        <v/>
      </c>
      <c r="K112" s="46">
        <f>IF(J112="",NA(),IFERROR(INDEX(tblHistory[EquityP],111),NA()))</f>
        <v/>
      </c>
      <c r="L112" s="46">
        <f>IF(J112="",NA(),IFERROR(INDEX(tblHistory[FinP],111),NA()))</f>
        <v/>
      </c>
      <c r="M112" s="46">
        <f>IF(J112="",NA(),IFERROR(INDEX(tblHistory[CreditP],111),NA()))</f>
        <v/>
      </c>
      <c r="N112" s="46">
        <f>IF(J112="",NA(),IFERROR(INDEX(tblHistory[Score],111),NA()))</f>
        <v/>
      </c>
    </row>
    <row r="113">
      <c r="J113" s="48">
        <f>IFERROR(IF(INDEX(tblHistory[Date],112)&gt;MAX(tblHistory[Date])-364,INDEX(tblHistory[Date],112),""),"")</f>
        <v/>
      </c>
      <c r="K113" s="46">
        <f>IF(J113="",NA(),IFERROR(INDEX(tblHistory[EquityP],112),NA()))</f>
        <v/>
      </c>
      <c r="L113" s="46">
        <f>IF(J113="",NA(),IFERROR(INDEX(tblHistory[FinP],112),NA()))</f>
        <v/>
      </c>
      <c r="M113" s="46">
        <f>IF(J113="",NA(),IFERROR(INDEX(tblHistory[CreditP],112),NA()))</f>
        <v/>
      </c>
      <c r="N113" s="46">
        <f>IF(J113="",NA(),IFERROR(INDEX(tblHistory[Score],112),NA()))</f>
        <v/>
      </c>
    </row>
    <row r="114">
      <c r="J114" s="48">
        <f>IFERROR(IF(INDEX(tblHistory[Date],113)&gt;MAX(tblHistory[Date])-364,INDEX(tblHistory[Date],113),""),"")</f>
        <v/>
      </c>
      <c r="K114" s="46">
        <f>IF(J114="",NA(),IFERROR(INDEX(tblHistory[EquityP],113),NA()))</f>
        <v/>
      </c>
      <c r="L114" s="46">
        <f>IF(J114="",NA(),IFERROR(INDEX(tblHistory[FinP],113),NA()))</f>
        <v/>
      </c>
      <c r="M114" s="46">
        <f>IF(J114="",NA(),IFERROR(INDEX(tblHistory[CreditP],113),NA()))</f>
        <v/>
      </c>
      <c r="N114" s="46">
        <f>IF(J114="",NA(),IFERROR(INDEX(tblHistory[Score],113),NA()))</f>
        <v/>
      </c>
    </row>
    <row r="115">
      <c r="J115" s="48">
        <f>IFERROR(IF(INDEX(tblHistory[Date],114)&gt;MAX(tblHistory[Date])-364,INDEX(tblHistory[Date],114),""),"")</f>
        <v/>
      </c>
      <c r="K115" s="46">
        <f>IF(J115="",NA(),IFERROR(INDEX(tblHistory[EquityP],114),NA()))</f>
        <v/>
      </c>
      <c r="L115" s="46">
        <f>IF(J115="",NA(),IFERROR(INDEX(tblHistory[FinP],114),NA()))</f>
        <v/>
      </c>
      <c r="M115" s="46">
        <f>IF(J115="",NA(),IFERROR(INDEX(tblHistory[CreditP],114),NA()))</f>
        <v/>
      </c>
      <c r="N115" s="46">
        <f>IF(J115="",NA(),IFERROR(INDEX(tblHistory[Score],114),NA()))</f>
        <v/>
      </c>
    </row>
    <row r="116">
      <c r="J116" s="48">
        <f>IFERROR(IF(INDEX(tblHistory[Date],115)&gt;MAX(tblHistory[Date])-364,INDEX(tblHistory[Date],115),""),"")</f>
        <v/>
      </c>
      <c r="K116" s="46">
        <f>IF(J116="",NA(),IFERROR(INDEX(tblHistory[EquityP],115),NA()))</f>
        <v/>
      </c>
      <c r="L116" s="46">
        <f>IF(J116="",NA(),IFERROR(INDEX(tblHistory[FinP],115),NA()))</f>
        <v/>
      </c>
      <c r="M116" s="46">
        <f>IF(J116="",NA(),IFERROR(INDEX(tblHistory[CreditP],115),NA()))</f>
        <v/>
      </c>
      <c r="N116" s="46">
        <f>IF(J116="",NA(),IFERROR(INDEX(tblHistory[Score],115),NA()))</f>
        <v/>
      </c>
    </row>
    <row r="117">
      <c r="J117" s="48">
        <f>IFERROR(IF(INDEX(tblHistory[Date],116)&gt;MAX(tblHistory[Date])-364,INDEX(tblHistory[Date],116),""),"")</f>
        <v/>
      </c>
      <c r="K117" s="46">
        <f>IF(J117="",NA(),IFERROR(INDEX(tblHistory[EquityP],116),NA()))</f>
        <v/>
      </c>
      <c r="L117" s="46">
        <f>IF(J117="",NA(),IFERROR(INDEX(tblHistory[FinP],116),NA()))</f>
        <v/>
      </c>
      <c r="M117" s="46">
        <f>IF(J117="",NA(),IFERROR(INDEX(tblHistory[CreditP],116),NA()))</f>
        <v/>
      </c>
      <c r="N117" s="46">
        <f>IF(J117="",NA(),IFERROR(INDEX(tblHistory[Score],116),NA()))</f>
        <v/>
      </c>
    </row>
    <row r="118">
      <c r="J118" s="48">
        <f>IFERROR(IF(INDEX(tblHistory[Date],117)&gt;MAX(tblHistory[Date])-364,INDEX(tblHistory[Date],117),""),"")</f>
        <v/>
      </c>
      <c r="K118" s="46">
        <f>IF(J118="",NA(),IFERROR(INDEX(tblHistory[EquityP],117),NA()))</f>
        <v/>
      </c>
      <c r="L118" s="46">
        <f>IF(J118="",NA(),IFERROR(INDEX(tblHistory[FinP],117),NA()))</f>
        <v/>
      </c>
      <c r="M118" s="46">
        <f>IF(J118="",NA(),IFERROR(INDEX(tblHistory[CreditP],117),NA()))</f>
        <v/>
      </c>
      <c r="N118" s="46">
        <f>IF(J118="",NA(),IFERROR(INDEX(tblHistory[Score],117),NA()))</f>
        <v/>
      </c>
    </row>
    <row r="119">
      <c r="J119" s="48">
        <f>IFERROR(IF(INDEX(tblHistory[Date],118)&gt;MAX(tblHistory[Date])-364,INDEX(tblHistory[Date],118),""),"")</f>
        <v/>
      </c>
      <c r="K119" s="46">
        <f>IF(J119="",NA(),IFERROR(INDEX(tblHistory[EquityP],118),NA()))</f>
        <v/>
      </c>
      <c r="L119" s="46">
        <f>IF(J119="",NA(),IFERROR(INDEX(tblHistory[FinP],118),NA()))</f>
        <v/>
      </c>
      <c r="M119" s="46">
        <f>IF(J119="",NA(),IFERROR(INDEX(tblHistory[CreditP],118),NA()))</f>
        <v/>
      </c>
      <c r="N119" s="46">
        <f>IF(J119="",NA(),IFERROR(INDEX(tblHistory[Score],118),NA()))</f>
        <v/>
      </c>
    </row>
    <row r="120">
      <c r="J120" s="48">
        <f>IFERROR(IF(INDEX(tblHistory[Date],119)&gt;MAX(tblHistory[Date])-364,INDEX(tblHistory[Date],119),""),"")</f>
        <v/>
      </c>
      <c r="K120" s="46">
        <f>IF(J120="",NA(),IFERROR(INDEX(tblHistory[EquityP],119),NA()))</f>
        <v/>
      </c>
      <c r="L120" s="46">
        <f>IF(J120="",NA(),IFERROR(INDEX(tblHistory[FinP],119),NA()))</f>
        <v/>
      </c>
      <c r="M120" s="46">
        <f>IF(J120="",NA(),IFERROR(INDEX(tblHistory[CreditP],119),NA()))</f>
        <v/>
      </c>
      <c r="N120" s="46">
        <f>IF(J120="",NA(),IFERROR(INDEX(tblHistory[Score],119),NA()))</f>
        <v/>
      </c>
    </row>
    <row r="121">
      <c r="J121" s="48">
        <f>IFERROR(IF(INDEX(tblHistory[Date],120)&gt;MAX(tblHistory[Date])-364,INDEX(tblHistory[Date],120),""),"")</f>
        <v/>
      </c>
      <c r="K121" s="46">
        <f>IF(J121="",NA(),IFERROR(INDEX(tblHistory[EquityP],120),NA()))</f>
        <v/>
      </c>
      <c r="L121" s="46">
        <f>IF(J121="",NA(),IFERROR(INDEX(tblHistory[FinP],120),NA()))</f>
        <v/>
      </c>
      <c r="M121" s="46">
        <f>IF(J121="",NA(),IFERROR(INDEX(tblHistory[CreditP],120),NA()))</f>
        <v/>
      </c>
      <c r="N121" s="46">
        <f>IF(J121="",NA(),IFERROR(INDEX(tblHistory[Score],120),NA()))</f>
        <v/>
      </c>
    </row>
    <row r="122">
      <c r="J122" s="48">
        <f>IFERROR(IF(INDEX(tblHistory[Date],121)&gt;MAX(tblHistory[Date])-364,INDEX(tblHistory[Date],121),""),"")</f>
        <v/>
      </c>
      <c r="K122" s="46">
        <f>IF(J122="",NA(),IFERROR(INDEX(tblHistory[EquityP],121),NA()))</f>
        <v/>
      </c>
      <c r="L122" s="46">
        <f>IF(J122="",NA(),IFERROR(INDEX(tblHistory[FinP],121),NA()))</f>
        <v/>
      </c>
      <c r="M122" s="46">
        <f>IF(J122="",NA(),IFERROR(INDEX(tblHistory[CreditP],121),NA()))</f>
        <v/>
      </c>
      <c r="N122" s="46">
        <f>IF(J122="",NA(),IFERROR(INDEX(tblHistory[Score],121),NA()))</f>
        <v/>
      </c>
    </row>
    <row r="123">
      <c r="J123" s="48">
        <f>IFERROR(IF(INDEX(tblHistory[Date],122)&gt;MAX(tblHistory[Date])-364,INDEX(tblHistory[Date],122),""),"")</f>
        <v/>
      </c>
      <c r="K123" s="46">
        <f>IF(J123="",NA(),IFERROR(INDEX(tblHistory[EquityP],122),NA()))</f>
        <v/>
      </c>
      <c r="L123" s="46">
        <f>IF(J123="",NA(),IFERROR(INDEX(tblHistory[FinP],122),NA()))</f>
        <v/>
      </c>
      <c r="M123" s="46">
        <f>IF(J123="",NA(),IFERROR(INDEX(tblHistory[CreditP],122),NA()))</f>
        <v/>
      </c>
      <c r="N123" s="46">
        <f>IF(J123="",NA(),IFERROR(INDEX(tblHistory[Score],122),NA()))</f>
        <v/>
      </c>
    </row>
    <row r="124">
      <c r="J124" s="48">
        <f>IFERROR(IF(INDEX(tblHistory[Date],123)&gt;MAX(tblHistory[Date])-364,INDEX(tblHistory[Date],123),""),"")</f>
        <v/>
      </c>
      <c r="K124" s="46">
        <f>IF(J124="",NA(),IFERROR(INDEX(tblHistory[EquityP],123),NA()))</f>
        <v/>
      </c>
      <c r="L124" s="46">
        <f>IF(J124="",NA(),IFERROR(INDEX(tblHistory[FinP],123),NA()))</f>
        <v/>
      </c>
      <c r="M124" s="46">
        <f>IF(J124="",NA(),IFERROR(INDEX(tblHistory[CreditP],123),NA()))</f>
        <v/>
      </c>
      <c r="N124" s="46">
        <f>IF(J124="",NA(),IFERROR(INDEX(tblHistory[Score],123),NA()))</f>
        <v/>
      </c>
    </row>
    <row r="125">
      <c r="J125" s="48">
        <f>IFERROR(IF(INDEX(tblHistory[Date],124)&gt;MAX(tblHistory[Date])-364,INDEX(tblHistory[Date],124),""),"")</f>
        <v/>
      </c>
      <c r="K125" s="46">
        <f>IF(J125="",NA(),IFERROR(INDEX(tblHistory[EquityP],124),NA()))</f>
        <v/>
      </c>
      <c r="L125" s="46">
        <f>IF(J125="",NA(),IFERROR(INDEX(tblHistory[FinP],124),NA()))</f>
        <v/>
      </c>
      <c r="M125" s="46">
        <f>IF(J125="",NA(),IFERROR(INDEX(tblHistory[CreditP],124),NA()))</f>
        <v/>
      </c>
      <c r="N125" s="46">
        <f>IF(J125="",NA(),IFERROR(INDEX(tblHistory[Score],124),NA()))</f>
        <v/>
      </c>
    </row>
    <row r="126">
      <c r="J126" s="48">
        <f>IFERROR(IF(INDEX(tblHistory[Date],125)&gt;MAX(tblHistory[Date])-364,INDEX(tblHistory[Date],125),""),"")</f>
        <v/>
      </c>
      <c r="K126" s="46">
        <f>IF(J126="",NA(),IFERROR(INDEX(tblHistory[EquityP],125),NA()))</f>
        <v/>
      </c>
      <c r="L126" s="46">
        <f>IF(J126="",NA(),IFERROR(INDEX(tblHistory[FinP],125),NA()))</f>
        <v/>
      </c>
      <c r="M126" s="46">
        <f>IF(J126="",NA(),IFERROR(INDEX(tblHistory[CreditP],125),NA()))</f>
        <v/>
      </c>
      <c r="N126" s="46">
        <f>IF(J126="",NA(),IFERROR(INDEX(tblHistory[Score],125),NA()))</f>
        <v/>
      </c>
    </row>
    <row r="127">
      <c r="J127" s="48">
        <f>IFERROR(IF(INDEX(tblHistory[Date],126)&gt;MAX(tblHistory[Date])-364,INDEX(tblHistory[Date],126),""),"")</f>
        <v/>
      </c>
      <c r="K127" s="46">
        <f>IF(J127="",NA(),IFERROR(INDEX(tblHistory[EquityP],126),NA()))</f>
        <v/>
      </c>
      <c r="L127" s="46">
        <f>IF(J127="",NA(),IFERROR(INDEX(tblHistory[FinP],126),NA()))</f>
        <v/>
      </c>
      <c r="M127" s="46">
        <f>IF(J127="",NA(),IFERROR(INDEX(tblHistory[CreditP],126),NA()))</f>
        <v/>
      </c>
      <c r="N127" s="46">
        <f>IF(J127="",NA(),IFERROR(INDEX(tblHistory[Score],126),NA()))</f>
        <v/>
      </c>
    </row>
    <row r="128">
      <c r="J128" s="48">
        <f>IFERROR(IF(INDEX(tblHistory[Date],127)&gt;MAX(tblHistory[Date])-364,INDEX(tblHistory[Date],127),""),"")</f>
        <v/>
      </c>
      <c r="K128" s="46">
        <f>IF(J128="",NA(),IFERROR(INDEX(tblHistory[EquityP],127),NA()))</f>
        <v/>
      </c>
      <c r="L128" s="46">
        <f>IF(J128="",NA(),IFERROR(INDEX(tblHistory[FinP],127),NA()))</f>
        <v/>
      </c>
      <c r="M128" s="46">
        <f>IF(J128="",NA(),IFERROR(INDEX(tblHistory[CreditP],127),NA()))</f>
        <v/>
      </c>
      <c r="N128" s="46">
        <f>IF(J128="",NA(),IFERROR(INDEX(tblHistory[Score],127),NA()))</f>
        <v/>
      </c>
    </row>
    <row r="129">
      <c r="J129" s="48">
        <f>IFERROR(IF(INDEX(tblHistory[Date],128)&gt;MAX(tblHistory[Date])-364,INDEX(tblHistory[Date],128),""),"")</f>
        <v/>
      </c>
      <c r="K129" s="46">
        <f>IF(J129="",NA(),IFERROR(INDEX(tblHistory[EquityP],128),NA()))</f>
        <v/>
      </c>
      <c r="L129" s="46">
        <f>IF(J129="",NA(),IFERROR(INDEX(tblHistory[FinP],128),NA()))</f>
        <v/>
      </c>
      <c r="M129" s="46">
        <f>IF(J129="",NA(),IFERROR(INDEX(tblHistory[CreditP],128),NA()))</f>
        <v/>
      </c>
      <c r="N129" s="46">
        <f>IF(J129="",NA(),IFERROR(INDEX(tblHistory[Score],128),NA()))</f>
        <v/>
      </c>
    </row>
    <row r="130">
      <c r="J130" s="48">
        <f>IFERROR(IF(INDEX(tblHistory[Date],129)&gt;MAX(tblHistory[Date])-364,INDEX(tblHistory[Date],129),""),"")</f>
        <v/>
      </c>
      <c r="K130" s="46">
        <f>IF(J130="",NA(),IFERROR(INDEX(tblHistory[EquityP],129),NA()))</f>
        <v/>
      </c>
      <c r="L130" s="46">
        <f>IF(J130="",NA(),IFERROR(INDEX(tblHistory[FinP],129),NA()))</f>
        <v/>
      </c>
      <c r="M130" s="46">
        <f>IF(J130="",NA(),IFERROR(INDEX(tblHistory[CreditP],129),NA()))</f>
        <v/>
      </c>
      <c r="N130" s="46">
        <f>IF(J130="",NA(),IFERROR(INDEX(tblHistory[Score],129),NA()))</f>
        <v/>
      </c>
    </row>
    <row r="131">
      <c r="J131" s="48">
        <f>IFERROR(IF(INDEX(tblHistory[Date],130)&gt;MAX(tblHistory[Date])-364,INDEX(tblHistory[Date],130),""),"")</f>
        <v/>
      </c>
      <c r="K131" s="46">
        <f>IF(J131="",NA(),IFERROR(INDEX(tblHistory[EquityP],130),NA()))</f>
        <v/>
      </c>
      <c r="L131" s="46">
        <f>IF(J131="",NA(),IFERROR(INDEX(tblHistory[FinP],130),NA()))</f>
        <v/>
      </c>
      <c r="M131" s="46">
        <f>IF(J131="",NA(),IFERROR(INDEX(tblHistory[CreditP],130),NA()))</f>
        <v/>
      </c>
      <c r="N131" s="46">
        <f>IF(J131="",NA(),IFERROR(INDEX(tblHistory[Score],130),NA()))</f>
        <v/>
      </c>
    </row>
    <row r="132">
      <c r="J132" s="48">
        <f>IFERROR(IF(INDEX(tblHistory[Date],131)&gt;MAX(tblHistory[Date])-364,INDEX(tblHistory[Date],131),""),"")</f>
        <v/>
      </c>
      <c r="K132" s="46">
        <f>IF(J132="",NA(),IFERROR(INDEX(tblHistory[EquityP],131),NA()))</f>
        <v/>
      </c>
      <c r="L132" s="46">
        <f>IF(J132="",NA(),IFERROR(INDEX(tblHistory[FinP],131),NA()))</f>
        <v/>
      </c>
      <c r="M132" s="46">
        <f>IF(J132="",NA(),IFERROR(INDEX(tblHistory[CreditP],131),NA()))</f>
        <v/>
      </c>
      <c r="N132" s="46">
        <f>IF(J132="",NA(),IFERROR(INDEX(tblHistory[Score],131),NA()))</f>
        <v/>
      </c>
    </row>
    <row r="133">
      <c r="J133" s="48">
        <f>IFERROR(IF(INDEX(tblHistory[Date],132)&gt;MAX(tblHistory[Date])-364,INDEX(tblHistory[Date],132),""),"")</f>
        <v/>
      </c>
      <c r="K133" s="46">
        <f>IF(J133="",NA(),IFERROR(INDEX(tblHistory[EquityP],132),NA()))</f>
        <v/>
      </c>
      <c r="L133" s="46">
        <f>IF(J133="",NA(),IFERROR(INDEX(tblHistory[FinP],132),NA()))</f>
        <v/>
      </c>
      <c r="M133" s="46">
        <f>IF(J133="",NA(),IFERROR(INDEX(tblHistory[CreditP],132),NA()))</f>
        <v/>
      </c>
      <c r="N133" s="46">
        <f>IF(J133="",NA(),IFERROR(INDEX(tblHistory[Score],132),NA()))</f>
        <v/>
      </c>
    </row>
    <row r="134">
      <c r="J134" s="48">
        <f>IFERROR(IF(INDEX(tblHistory[Date],133)&gt;MAX(tblHistory[Date])-364,INDEX(tblHistory[Date],133),""),"")</f>
        <v/>
      </c>
      <c r="K134" s="46">
        <f>IF(J134="",NA(),IFERROR(INDEX(tblHistory[EquityP],133),NA()))</f>
        <v/>
      </c>
      <c r="L134" s="46">
        <f>IF(J134="",NA(),IFERROR(INDEX(tblHistory[FinP],133),NA()))</f>
        <v/>
      </c>
      <c r="M134" s="46">
        <f>IF(J134="",NA(),IFERROR(INDEX(tblHistory[CreditP],133),NA()))</f>
        <v/>
      </c>
      <c r="N134" s="46">
        <f>IF(J134="",NA(),IFERROR(INDEX(tblHistory[Score],133),NA()))</f>
        <v/>
      </c>
    </row>
    <row r="135">
      <c r="J135" s="48">
        <f>IFERROR(IF(INDEX(tblHistory[Date],134)&gt;MAX(tblHistory[Date])-364,INDEX(tblHistory[Date],134),""),"")</f>
        <v/>
      </c>
      <c r="K135" s="46">
        <f>IF(J135="",NA(),IFERROR(INDEX(tblHistory[EquityP],134),NA()))</f>
        <v/>
      </c>
      <c r="L135" s="46">
        <f>IF(J135="",NA(),IFERROR(INDEX(tblHistory[FinP],134),NA()))</f>
        <v/>
      </c>
      <c r="M135" s="46">
        <f>IF(J135="",NA(),IFERROR(INDEX(tblHistory[CreditP],134),NA()))</f>
        <v/>
      </c>
      <c r="N135" s="46">
        <f>IF(J135="",NA(),IFERROR(INDEX(tblHistory[Score],134),NA()))</f>
        <v/>
      </c>
    </row>
    <row r="136">
      <c r="J136" s="48">
        <f>IFERROR(IF(INDEX(tblHistory[Date],135)&gt;MAX(tblHistory[Date])-364,INDEX(tblHistory[Date],135),""),"")</f>
        <v/>
      </c>
      <c r="K136" s="46">
        <f>IF(J136="",NA(),IFERROR(INDEX(tblHistory[EquityP],135),NA()))</f>
        <v/>
      </c>
      <c r="L136" s="46">
        <f>IF(J136="",NA(),IFERROR(INDEX(tblHistory[FinP],135),NA()))</f>
        <v/>
      </c>
      <c r="M136" s="46">
        <f>IF(J136="",NA(),IFERROR(INDEX(tblHistory[CreditP],135),NA()))</f>
        <v/>
      </c>
      <c r="N136" s="46">
        <f>IF(J136="",NA(),IFERROR(INDEX(tblHistory[Score],135),NA()))</f>
        <v/>
      </c>
    </row>
    <row r="137">
      <c r="J137" s="48">
        <f>IFERROR(IF(INDEX(tblHistory[Date],136)&gt;MAX(tblHistory[Date])-364,INDEX(tblHistory[Date],136),""),"")</f>
        <v/>
      </c>
      <c r="K137" s="46">
        <f>IF(J137="",NA(),IFERROR(INDEX(tblHistory[EquityP],136),NA()))</f>
        <v/>
      </c>
      <c r="L137" s="46">
        <f>IF(J137="",NA(),IFERROR(INDEX(tblHistory[FinP],136),NA()))</f>
        <v/>
      </c>
      <c r="M137" s="46">
        <f>IF(J137="",NA(),IFERROR(INDEX(tblHistory[CreditP],136),NA()))</f>
        <v/>
      </c>
      <c r="N137" s="46">
        <f>IF(J137="",NA(),IFERROR(INDEX(tblHistory[Score],136),NA()))</f>
        <v/>
      </c>
    </row>
    <row r="138">
      <c r="J138" s="48">
        <f>IFERROR(IF(INDEX(tblHistory[Date],137)&gt;MAX(tblHistory[Date])-364,INDEX(tblHistory[Date],137),""),"")</f>
        <v/>
      </c>
      <c r="K138" s="46">
        <f>IF(J138="",NA(),IFERROR(INDEX(tblHistory[EquityP],137),NA()))</f>
        <v/>
      </c>
      <c r="L138" s="46">
        <f>IF(J138="",NA(),IFERROR(INDEX(tblHistory[FinP],137),NA()))</f>
        <v/>
      </c>
      <c r="M138" s="46">
        <f>IF(J138="",NA(),IFERROR(INDEX(tblHistory[CreditP],137),NA()))</f>
        <v/>
      </c>
      <c r="N138" s="46">
        <f>IF(J138="",NA(),IFERROR(INDEX(tblHistory[Score],137),NA()))</f>
        <v/>
      </c>
    </row>
    <row r="139">
      <c r="J139" s="48">
        <f>IFERROR(IF(INDEX(tblHistory[Date],138)&gt;MAX(tblHistory[Date])-364,INDEX(tblHistory[Date],138),""),"")</f>
        <v/>
      </c>
      <c r="K139" s="46">
        <f>IF(J139="",NA(),IFERROR(INDEX(tblHistory[EquityP],138),NA()))</f>
        <v/>
      </c>
      <c r="L139" s="46">
        <f>IF(J139="",NA(),IFERROR(INDEX(tblHistory[FinP],138),NA()))</f>
        <v/>
      </c>
      <c r="M139" s="46">
        <f>IF(J139="",NA(),IFERROR(INDEX(tblHistory[CreditP],138),NA()))</f>
        <v/>
      </c>
      <c r="N139" s="46">
        <f>IF(J139="",NA(),IFERROR(INDEX(tblHistory[Score],138),NA()))</f>
        <v/>
      </c>
    </row>
    <row r="140">
      <c r="J140" s="48">
        <f>IFERROR(IF(INDEX(tblHistory[Date],139)&gt;MAX(tblHistory[Date])-364,INDEX(tblHistory[Date],139),""),"")</f>
        <v/>
      </c>
      <c r="K140" s="46">
        <f>IF(J140="",NA(),IFERROR(INDEX(tblHistory[EquityP],139),NA()))</f>
        <v/>
      </c>
      <c r="L140" s="46">
        <f>IF(J140="",NA(),IFERROR(INDEX(tblHistory[FinP],139),NA()))</f>
        <v/>
      </c>
      <c r="M140" s="46">
        <f>IF(J140="",NA(),IFERROR(INDEX(tblHistory[CreditP],139),NA()))</f>
        <v/>
      </c>
      <c r="N140" s="46">
        <f>IF(J140="",NA(),IFERROR(INDEX(tblHistory[Score],139),NA()))</f>
        <v/>
      </c>
    </row>
    <row r="141">
      <c r="J141" s="48">
        <f>IFERROR(IF(INDEX(tblHistory[Date],140)&gt;MAX(tblHistory[Date])-364,INDEX(tblHistory[Date],140),""),"")</f>
        <v/>
      </c>
      <c r="K141" s="46">
        <f>IF(J141="",NA(),IFERROR(INDEX(tblHistory[EquityP],140),NA()))</f>
        <v/>
      </c>
      <c r="L141" s="46">
        <f>IF(J141="",NA(),IFERROR(INDEX(tblHistory[FinP],140),NA()))</f>
        <v/>
      </c>
      <c r="M141" s="46">
        <f>IF(J141="",NA(),IFERROR(INDEX(tblHistory[CreditP],140),NA()))</f>
        <v/>
      </c>
      <c r="N141" s="46">
        <f>IF(J141="",NA(),IFERROR(INDEX(tblHistory[Score],140),NA()))</f>
        <v/>
      </c>
    </row>
    <row r="142">
      <c r="J142" s="48">
        <f>IFERROR(IF(INDEX(tblHistory[Date],141)&gt;MAX(tblHistory[Date])-364,INDEX(tblHistory[Date],141),""),"")</f>
        <v/>
      </c>
      <c r="K142" s="46">
        <f>IF(J142="",NA(),IFERROR(INDEX(tblHistory[EquityP],141),NA()))</f>
        <v/>
      </c>
      <c r="L142" s="46">
        <f>IF(J142="",NA(),IFERROR(INDEX(tblHistory[FinP],141),NA()))</f>
        <v/>
      </c>
      <c r="M142" s="46">
        <f>IF(J142="",NA(),IFERROR(INDEX(tblHistory[CreditP],141),NA()))</f>
        <v/>
      </c>
      <c r="N142" s="46">
        <f>IF(J142="",NA(),IFERROR(INDEX(tblHistory[Score],141),NA()))</f>
        <v/>
      </c>
    </row>
    <row r="143">
      <c r="J143" s="48">
        <f>IFERROR(IF(INDEX(tblHistory[Date],142)&gt;MAX(tblHistory[Date])-364,INDEX(tblHistory[Date],142),""),"")</f>
        <v/>
      </c>
      <c r="K143" s="46">
        <f>IF(J143="",NA(),IFERROR(INDEX(tblHistory[EquityP],142),NA()))</f>
        <v/>
      </c>
      <c r="L143" s="46">
        <f>IF(J143="",NA(),IFERROR(INDEX(tblHistory[FinP],142),NA()))</f>
        <v/>
      </c>
      <c r="M143" s="46">
        <f>IF(J143="",NA(),IFERROR(INDEX(tblHistory[CreditP],142),NA()))</f>
        <v/>
      </c>
      <c r="N143" s="46">
        <f>IF(J143="",NA(),IFERROR(INDEX(tblHistory[Score],142),NA()))</f>
        <v/>
      </c>
    </row>
    <row r="144">
      <c r="J144" s="48">
        <f>IFERROR(IF(INDEX(tblHistory[Date],143)&gt;MAX(tblHistory[Date])-364,INDEX(tblHistory[Date],143),""),"")</f>
        <v/>
      </c>
      <c r="K144" s="46">
        <f>IF(J144="",NA(),IFERROR(INDEX(tblHistory[EquityP],143),NA()))</f>
        <v/>
      </c>
      <c r="L144" s="46">
        <f>IF(J144="",NA(),IFERROR(INDEX(tblHistory[FinP],143),NA()))</f>
        <v/>
      </c>
      <c r="M144" s="46">
        <f>IF(J144="",NA(),IFERROR(INDEX(tblHistory[CreditP],143),NA()))</f>
        <v/>
      </c>
      <c r="N144" s="46">
        <f>IF(J144="",NA(),IFERROR(INDEX(tblHistory[Score],143),NA()))</f>
        <v/>
      </c>
    </row>
    <row r="145">
      <c r="J145" s="48">
        <f>IFERROR(IF(INDEX(tblHistory[Date],144)&gt;MAX(tblHistory[Date])-364,INDEX(tblHistory[Date],144),""),"")</f>
        <v/>
      </c>
      <c r="K145" s="46">
        <f>IF(J145="",NA(),IFERROR(INDEX(tblHistory[EquityP],144),NA()))</f>
        <v/>
      </c>
      <c r="L145" s="46">
        <f>IF(J145="",NA(),IFERROR(INDEX(tblHistory[FinP],144),NA()))</f>
        <v/>
      </c>
      <c r="M145" s="46">
        <f>IF(J145="",NA(),IFERROR(INDEX(tblHistory[CreditP],144),NA()))</f>
        <v/>
      </c>
      <c r="N145" s="46">
        <f>IF(J145="",NA(),IFERROR(INDEX(tblHistory[Score],144),NA()))</f>
        <v/>
      </c>
    </row>
    <row r="146">
      <c r="J146" s="48">
        <f>IFERROR(IF(INDEX(tblHistory[Date],145)&gt;MAX(tblHistory[Date])-364,INDEX(tblHistory[Date],145),""),"")</f>
        <v/>
      </c>
      <c r="K146" s="46">
        <f>IF(J146="",NA(),IFERROR(INDEX(tblHistory[EquityP],145),NA()))</f>
        <v/>
      </c>
      <c r="L146" s="46">
        <f>IF(J146="",NA(),IFERROR(INDEX(tblHistory[FinP],145),NA()))</f>
        <v/>
      </c>
      <c r="M146" s="46">
        <f>IF(J146="",NA(),IFERROR(INDEX(tblHistory[CreditP],145),NA()))</f>
        <v/>
      </c>
      <c r="N146" s="46">
        <f>IF(J146="",NA(),IFERROR(INDEX(tblHistory[Score],145),NA()))</f>
        <v/>
      </c>
    </row>
    <row r="147">
      <c r="J147" s="48">
        <f>IFERROR(IF(INDEX(tblHistory[Date],146)&gt;MAX(tblHistory[Date])-364,INDEX(tblHistory[Date],146),""),"")</f>
        <v/>
      </c>
      <c r="K147" s="46">
        <f>IF(J147="",NA(),IFERROR(INDEX(tblHistory[EquityP],146),NA()))</f>
        <v/>
      </c>
      <c r="L147" s="46">
        <f>IF(J147="",NA(),IFERROR(INDEX(tblHistory[FinP],146),NA()))</f>
        <v/>
      </c>
      <c r="M147" s="46">
        <f>IF(J147="",NA(),IFERROR(INDEX(tblHistory[CreditP],146),NA()))</f>
        <v/>
      </c>
      <c r="N147" s="46">
        <f>IF(J147="",NA(),IFERROR(INDEX(tblHistory[Score],146),NA()))</f>
        <v/>
      </c>
    </row>
    <row r="148">
      <c r="J148" s="48">
        <f>IFERROR(IF(INDEX(tblHistory[Date],147)&gt;MAX(tblHistory[Date])-364,INDEX(tblHistory[Date],147),""),"")</f>
        <v/>
      </c>
      <c r="K148" s="46">
        <f>IF(J148="",NA(),IFERROR(INDEX(tblHistory[EquityP],147),NA()))</f>
        <v/>
      </c>
      <c r="L148" s="46">
        <f>IF(J148="",NA(),IFERROR(INDEX(tblHistory[FinP],147),NA()))</f>
        <v/>
      </c>
      <c r="M148" s="46">
        <f>IF(J148="",NA(),IFERROR(INDEX(tblHistory[CreditP],147),NA()))</f>
        <v/>
      </c>
      <c r="N148" s="46">
        <f>IF(J148="",NA(),IFERROR(INDEX(tblHistory[Score],147),NA()))</f>
        <v/>
      </c>
    </row>
    <row r="149">
      <c r="J149" s="48">
        <f>IFERROR(IF(INDEX(tblHistory[Date],148)&gt;MAX(tblHistory[Date])-364,INDEX(tblHistory[Date],148),""),"")</f>
        <v/>
      </c>
      <c r="K149" s="46">
        <f>IF(J149="",NA(),IFERROR(INDEX(tblHistory[EquityP],148),NA()))</f>
        <v/>
      </c>
      <c r="L149" s="46">
        <f>IF(J149="",NA(),IFERROR(INDEX(tblHistory[FinP],148),NA()))</f>
        <v/>
      </c>
      <c r="M149" s="46">
        <f>IF(J149="",NA(),IFERROR(INDEX(tblHistory[CreditP],148),NA()))</f>
        <v/>
      </c>
      <c r="N149" s="46">
        <f>IF(J149="",NA(),IFERROR(INDEX(tblHistory[Score],148),NA()))</f>
        <v/>
      </c>
    </row>
    <row r="150">
      <c r="J150" s="48">
        <f>IFERROR(IF(INDEX(tblHistory[Date],149)&gt;MAX(tblHistory[Date])-364,INDEX(tblHistory[Date],149),""),"")</f>
        <v/>
      </c>
      <c r="K150" s="46">
        <f>IF(J150="",NA(),IFERROR(INDEX(tblHistory[EquityP],149),NA()))</f>
        <v/>
      </c>
      <c r="L150" s="46">
        <f>IF(J150="",NA(),IFERROR(INDEX(tblHistory[FinP],149),NA()))</f>
        <v/>
      </c>
      <c r="M150" s="46">
        <f>IF(J150="",NA(),IFERROR(INDEX(tblHistory[CreditP],149),NA()))</f>
        <v/>
      </c>
      <c r="N150" s="46">
        <f>IF(J150="",NA(),IFERROR(INDEX(tblHistory[Score],149),NA()))</f>
        <v/>
      </c>
    </row>
    <row r="151">
      <c r="J151" s="48">
        <f>IFERROR(IF(INDEX(tblHistory[Date],150)&gt;MAX(tblHistory[Date])-364,INDEX(tblHistory[Date],150),""),"")</f>
        <v/>
      </c>
      <c r="K151" s="46">
        <f>IF(J151="",NA(),IFERROR(INDEX(tblHistory[EquityP],150),NA()))</f>
        <v/>
      </c>
      <c r="L151" s="46">
        <f>IF(J151="",NA(),IFERROR(INDEX(tblHistory[FinP],150),NA()))</f>
        <v/>
      </c>
      <c r="M151" s="46">
        <f>IF(J151="",NA(),IFERROR(INDEX(tblHistory[CreditP],150),NA()))</f>
        <v/>
      </c>
      <c r="N151" s="46">
        <f>IF(J151="",NA(),IFERROR(INDEX(tblHistory[Score],150),NA()))</f>
        <v/>
      </c>
    </row>
    <row r="152">
      <c r="J152" s="48">
        <f>IFERROR(IF(INDEX(tblHistory[Date],151)&gt;MAX(tblHistory[Date])-364,INDEX(tblHistory[Date],151),""),"")</f>
        <v/>
      </c>
      <c r="K152" s="46">
        <f>IF(J152="",NA(),IFERROR(INDEX(tblHistory[EquityP],151),NA()))</f>
        <v/>
      </c>
      <c r="L152" s="46">
        <f>IF(J152="",NA(),IFERROR(INDEX(tblHistory[FinP],151),NA()))</f>
        <v/>
      </c>
      <c r="M152" s="46">
        <f>IF(J152="",NA(),IFERROR(INDEX(tblHistory[CreditP],151),NA()))</f>
        <v/>
      </c>
      <c r="N152" s="46">
        <f>IF(J152="",NA(),IFERROR(INDEX(tblHistory[Score],151),NA()))</f>
        <v/>
      </c>
    </row>
    <row r="153">
      <c r="J153" s="48">
        <f>IFERROR(IF(INDEX(tblHistory[Date],152)&gt;MAX(tblHistory[Date])-364,INDEX(tblHistory[Date],152),""),"")</f>
        <v/>
      </c>
      <c r="K153" s="46">
        <f>IF(J153="",NA(),IFERROR(INDEX(tblHistory[EquityP],152),NA()))</f>
        <v/>
      </c>
      <c r="L153" s="46">
        <f>IF(J153="",NA(),IFERROR(INDEX(tblHistory[FinP],152),NA()))</f>
        <v/>
      </c>
      <c r="M153" s="46">
        <f>IF(J153="",NA(),IFERROR(INDEX(tblHistory[CreditP],152),NA()))</f>
        <v/>
      </c>
      <c r="N153" s="46">
        <f>IF(J153="",NA(),IFERROR(INDEX(tblHistory[Score],152),NA()))</f>
        <v/>
      </c>
    </row>
    <row r="154">
      <c r="J154" s="48">
        <f>IFERROR(IF(INDEX(tblHistory[Date],153)&gt;MAX(tblHistory[Date])-364,INDEX(tblHistory[Date],153),""),"")</f>
        <v/>
      </c>
      <c r="K154" s="46">
        <f>IF(J154="",NA(),IFERROR(INDEX(tblHistory[EquityP],153),NA()))</f>
        <v/>
      </c>
      <c r="L154" s="46">
        <f>IF(J154="",NA(),IFERROR(INDEX(tblHistory[FinP],153),NA()))</f>
        <v/>
      </c>
      <c r="M154" s="46">
        <f>IF(J154="",NA(),IFERROR(INDEX(tblHistory[CreditP],153),NA()))</f>
        <v/>
      </c>
      <c r="N154" s="46">
        <f>IF(J154="",NA(),IFERROR(INDEX(tblHistory[Score],153),NA()))</f>
        <v/>
      </c>
    </row>
    <row r="155">
      <c r="J155" s="48">
        <f>IFERROR(IF(INDEX(tblHistory[Date],154)&gt;MAX(tblHistory[Date])-364,INDEX(tblHistory[Date],154),""),"")</f>
        <v/>
      </c>
      <c r="K155" s="46">
        <f>IF(J155="",NA(),IFERROR(INDEX(tblHistory[EquityP],154),NA()))</f>
        <v/>
      </c>
      <c r="L155" s="46">
        <f>IF(J155="",NA(),IFERROR(INDEX(tblHistory[FinP],154),NA()))</f>
        <v/>
      </c>
      <c r="M155" s="46">
        <f>IF(J155="",NA(),IFERROR(INDEX(tblHistory[CreditP],154),NA()))</f>
        <v/>
      </c>
      <c r="N155" s="46">
        <f>IF(J155="",NA(),IFERROR(INDEX(tblHistory[Score],154),NA()))</f>
        <v/>
      </c>
    </row>
    <row r="156">
      <c r="J156" s="48">
        <f>IFERROR(IF(INDEX(tblHistory[Date],155)&gt;MAX(tblHistory[Date])-364,INDEX(tblHistory[Date],155),""),"")</f>
        <v/>
      </c>
      <c r="K156" s="46">
        <f>IF(J156="",NA(),IFERROR(INDEX(tblHistory[EquityP],155),NA()))</f>
        <v/>
      </c>
      <c r="L156" s="46">
        <f>IF(J156="",NA(),IFERROR(INDEX(tblHistory[FinP],155),NA()))</f>
        <v/>
      </c>
      <c r="M156" s="46">
        <f>IF(J156="",NA(),IFERROR(INDEX(tblHistory[CreditP],155),NA()))</f>
        <v/>
      </c>
      <c r="N156" s="46">
        <f>IF(J156="",NA(),IFERROR(INDEX(tblHistory[Score],155),NA()))</f>
        <v/>
      </c>
    </row>
    <row r="157">
      <c r="J157" s="48">
        <f>IFERROR(IF(INDEX(tblHistory[Date],156)&gt;MAX(tblHistory[Date])-364,INDEX(tblHistory[Date],156),""),"")</f>
        <v/>
      </c>
      <c r="K157" s="46">
        <f>IF(J157="",NA(),IFERROR(INDEX(tblHistory[EquityP],156),NA()))</f>
        <v/>
      </c>
      <c r="L157" s="46">
        <f>IF(J157="",NA(),IFERROR(INDEX(tblHistory[FinP],156),NA()))</f>
        <v/>
      </c>
      <c r="M157" s="46">
        <f>IF(J157="",NA(),IFERROR(INDEX(tblHistory[CreditP],156),NA()))</f>
        <v/>
      </c>
      <c r="N157" s="46">
        <f>IF(J157="",NA(),IFERROR(INDEX(tblHistory[Score],156),NA()))</f>
        <v/>
      </c>
    </row>
    <row r="158">
      <c r="J158" s="48">
        <f>IFERROR(IF(INDEX(tblHistory[Date],157)&gt;MAX(tblHistory[Date])-364,INDEX(tblHistory[Date],157),""),"")</f>
        <v/>
      </c>
      <c r="K158" s="46">
        <f>IF(J158="",NA(),IFERROR(INDEX(tblHistory[EquityP],157),NA()))</f>
        <v/>
      </c>
      <c r="L158" s="46">
        <f>IF(J158="",NA(),IFERROR(INDEX(tblHistory[FinP],157),NA()))</f>
        <v/>
      </c>
      <c r="M158" s="46">
        <f>IF(J158="",NA(),IFERROR(INDEX(tblHistory[CreditP],157),NA()))</f>
        <v/>
      </c>
      <c r="N158" s="46">
        <f>IF(J158="",NA(),IFERROR(INDEX(tblHistory[Score],157),NA()))</f>
        <v/>
      </c>
    </row>
    <row r="159">
      <c r="J159" s="48">
        <f>IFERROR(IF(INDEX(tblHistory[Date],158)&gt;MAX(tblHistory[Date])-364,INDEX(tblHistory[Date],158),""),"")</f>
        <v/>
      </c>
      <c r="K159" s="46">
        <f>IF(J159="",NA(),IFERROR(INDEX(tblHistory[EquityP],158),NA()))</f>
        <v/>
      </c>
      <c r="L159" s="46">
        <f>IF(J159="",NA(),IFERROR(INDEX(tblHistory[FinP],158),NA()))</f>
        <v/>
      </c>
      <c r="M159" s="46">
        <f>IF(J159="",NA(),IFERROR(INDEX(tblHistory[CreditP],158),NA()))</f>
        <v/>
      </c>
      <c r="N159" s="46">
        <f>IF(J159="",NA(),IFERROR(INDEX(tblHistory[Score],158),NA()))</f>
        <v/>
      </c>
    </row>
    <row r="160">
      <c r="J160" s="48">
        <f>IFERROR(IF(INDEX(tblHistory[Date],159)&gt;MAX(tblHistory[Date])-364,INDEX(tblHistory[Date],159),""),"")</f>
        <v/>
      </c>
      <c r="K160" s="46">
        <f>IF(J160="",NA(),IFERROR(INDEX(tblHistory[EquityP],159),NA()))</f>
        <v/>
      </c>
      <c r="L160" s="46">
        <f>IF(J160="",NA(),IFERROR(INDEX(tblHistory[FinP],159),NA()))</f>
        <v/>
      </c>
      <c r="M160" s="46">
        <f>IF(J160="",NA(),IFERROR(INDEX(tblHistory[CreditP],159),NA()))</f>
        <v/>
      </c>
      <c r="N160" s="46">
        <f>IF(J160="",NA(),IFERROR(INDEX(tblHistory[Score],159),NA()))</f>
        <v/>
      </c>
    </row>
    <row r="161">
      <c r="J161" s="48">
        <f>IFERROR(IF(INDEX(tblHistory[Date],160)&gt;MAX(tblHistory[Date])-364,INDEX(tblHistory[Date],160),""),"")</f>
        <v/>
      </c>
      <c r="K161" s="46">
        <f>IF(J161="",NA(),IFERROR(INDEX(tblHistory[EquityP],160),NA()))</f>
        <v/>
      </c>
      <c r="L161" s="46">
        <f>IF(J161="",NA(),IFERROR(INDEX(tblHistory[FinP],160),NA()))</f>
        <v/>
      </c>
      <c r="M161" s="46">
        <f>IF(J161="",NA(),IFERROR(INDEX(tblHistory[CreditP],160),NA()))</f>
        <v/>
      </c>
      <c r="N161" s="46">
        <f>IF(J161="",NA(),IFERROR(INDEX(tblHistory[Score],160),NA()))</f>
        <v/>
      </c>
    </row>
    <row r="162">
      <c r="J162" s="48">
        <f>IFERROR(IF(INDEX(tblHistory[Date],161)&gt;MAX(tblHistory[Date])-364,INDEX(tblHistory[Date],161),""),"")</f>
        <v/>
      </c>
      <c r="K162" s="46">
        <f>IF(J162="",NA(),IFERROR(INDEX(tblHistory[EquityP],161),NA()))</f>
        <v/>
      </c>
      <c r="L162" s="46">
        <f>IF(J162="",NA(),IFERROR(INDEX(tblHistory[FinP],161),NA()))</f>
        <v/>
      </c>
      <c r="M162" s="46">
        <f>IF(J162="",NA(),IFERROR(INDEX(tblHistory[CreditP],161),NA()))</f>
        <v/>
      </c>
      <c r="N162" s="46">
        <f>IF(J162="",NA(),IFERROR(INDEX(tblHistory[Score],161),NA()))</f>
        <v/>
      </c>
    </row>
    <row r="163">
      <c r="J163" s="48">
        <f>IFERROR(IF(INDEX(tblHistory[Date],162)&gt;MAX(tblHistory[Date])-364,INDEX(tblHistory[Date],162),""),"")</f>
        <v/>
      </c>
      <c r="K163" s="46">
        <f>IF(J163="",NA(),IFERROR(INDEX(tblHistory[EquityP],162),NA()))</f>
        <v/>
      </c>
      <c r="L163" s="46">
        <f>IF(J163="",NA(),IFERROR(INDEX(tblHistory[FinP],162),NA()))</f>
        <v/>
      </c>
      <c r="M163" s="46">
        <f>IF(J163="",NA(),IFERROR(INDEX(tblHistory[CreditP],162),NA()))</f>
        <v/>
      </c>
      <c r="N163" s="46">
        <f>IF(J163="",NA(),IFERROR(INDEX(tblHistory[Score],162),NA()))</f>
        <v/>
      </c>
    </row>
    <row r="164">
      <c r="J164" s="48">
        <f>IFERROR(IF(INDEX(tblHistory[Date],163)&gt;MAX(tblHistory[Date])-364,INDEX(tblHistory[Date],163),""),"")</f>
        <v/>
      </c>
      <c r="K164" s="46">
        <f>IF(J164="",NA(),IFERROR(INDEX(tblHistory[EquityP],163),NA()))</f>
        <v/>
      </c>
      <c r="L164" s="46">
        <f>IF(J164="",NA(),IFERROR(INDEX(tblHistory[FinP],163),NA()))</f>
        <v/>
      </c>
      <c r="M164" s="46">
        <f>IF(J164="",NA(),IFERROR(INDEX(tblHistory[CreditP],163),NA()))</f>
        <v/>
      </c>
      <c r="N164" s="46">
        <f>IF(J164="",NA(),IFERROR(INDEX(tblHistory[Score],163),NA()))</f>
        <v/>
      </c>
    </row>
    <row r="165">
      <c r="J165" s="48">
        <f>IFERROR(IF(INDEX(tblHistory[Date],164)&gt;MAX(tblHistory[Date])-364,INDEX(tblHistory[Date],164),""),"")</f>
        <v/>
      </c>
      <c r="K165" s="46">
        <f>IF(J165="",NA(),IFERROR(INDEX(tblHistory[EquityP],164),NA()))</f>
        <v/>
      </c>
      <c r="L165" s="46">
        <f>IF(J165="",NA(),IFERROR(INDEX(tblHistory[FinP],164),NA()))</f>
        <v/>
      </c>
      <c r="M165" s="46">
        <f>IF(J165="",NA(),IFERROR(INDEX(tblHistory[CreditP],164),NA()))</f>
        <v/>
      </c>
      <c r="N165" s="46">
        <f>IF(J165="",NA(),IFERROR(INDEX(tblHistory[Score],164),NA()))</f>
        <v/>
      </c>
    </row>
    <row r="166">
      <c r="J166" s="48">
        <f>IFERROR(IF(INDEX(tblHistory[Date],165)&gt;MAX(tblHistory[Date])-364,INDEX(tblHistory[Date],165),""),"")</f>
        <v/>
      </c>
      <c r="K166" s="46">
        <f>IF(J166="",NA(),IFERROR(INDEX(tblHistory[EquityP],165),NA()))</f>
        <v/>
      </c>
      <c r="L166" s="46">
        <f>IF(J166="",NA(),IFERROR(INDEX(tblHistory[FinP],165),NA()))</f>
        <v/>
      </c>
      <c r="M166" s="46">
        <f>IF(J166="",NA(),IFERROR(INDEX(tblHistory[CreditP],165),NA()))</f>
        <v/>
      </c>
      <c r="N166" s="46">
        <f>IF(J166="",NA(),IFERROR(INDEX(tblHistory[Score],165),NA()))</f>
        <v/>
      </c>
    </row>
    <row r="167">
      <c r="J167" s="48">
        <f>IFERROR(IF(INDEX(tblHistory[Date],166)&gt;MAX(tblHistory[Date])-364,INDEX(tblHistory[Date],166),""),"")</f>
        <v/>
      </c>
      <c r="K167" s="46">
        <f>IF(J167="",NA(),IFERROR(INDEX(tblHistory[EquityP],166),NA()))</f>
        <v/>
      </c>
      <c r="L167" s="46">
        <f>IF(J167="",NA(),IFERROR(INDEX(tblHistory[FinP],166),NA()))</f>
        <v/>
      </c>
      <c r="M167" s="46">
        <f>IF(J167="",NA(),IFERROR(INDEX(tblHistory[CreditP],166),NA()))</f>
        <v/>
      </c>
      <c r="N167" s="46">
        <f>IF(J167="",NA(),IFERROR(INDEX(tblHistory[Score],166),NA()))</f>
        <v/>
      </c>
    </row>
    <row r="168">
      <c r="J168" s="48">
        <f>IFERROR(IF(INDEX(tblHistory[Date],167)&gt;MAX(tblHistory[Date])-364,INDEX(tblHistory[Date],167),""),"")</f>
        <v/>
      </c>
      <c r="K168" s="46">
        <f>IF(J168="",NA(),IFERROR(INDEX(tblHistory[EquityP],167),NA()))</f>
        <v/>
      </c>
      <c r="L168" s="46">
        <f>IF(J168="",NA(),IFERROR(INDEX(tblHistory[FinP],167),NA()))</f>
        <v/>
      </c>
      <c r="M168" s="46">
        <f>IF(J168="",NA(),IFERROR(INDEX(tblHistory[CreditP],167),NA()))</f>
        <v/>
      </c>
      <c r="N168" s="46">
        <f>IF(J168="",NA(),IFERROR(INDEX(tblHistory[Score],167),NA()))</f>
        <v/>
      </c>
    </row>
    <row r="169">
      <c r="J169" s="48">
        <f>IFERROR(IF(INDEX(tblHistory[Date],168)&gt;MAX(tblHistory[Date])-364,INDEX(tblHistory[Date],168),""),"")</f>
        <v/>
      </c>
      <c r="K169" s="46">
        <f>IF(J169="",NA(),IFERROR(INDEX(tblHistory[EquityP],168),NA()))</f>
        <v/>
      </c>
      <c r="L169" s="46">
        <f>IF(J169="",NA(),IFERROR(INDEX(tblHistory[FinP],168),NA()))</f>
        <v/>
      </c>
      <c r="M169" s="46">
        <f>IF(J169="",NA(),IFERROR(INDEX(tblHistory[CreditP],168),NA()))</f>
        <v/>
      </c>
      <c r="N169" s="46">
        <f>IF(J169="",NA(),IFERROR(INDEX(tblHistory[Score],168),NA()))</f>
        <v/>
      </c>
    </row>
    <row r="170">
      <c r="J170" s="48">
        <f>IFERROR(IF(INDEX(tblHistory[Date],169)&gt;MAX(tblHistory[Date])-364,INDEX(tblHistory[Date],169),""),"")</f>
        <v/>
      </c>
      <c r="K170" s="46">
        <f>IF(J170="",NA(),IFERROR(INDEX(tblHistory[EquityP],169),NA()))</f>
        <v/>
      </c>
      <c r="L170" s="46">
        <f>IF(J170="",NA(),IFERROR(INDEX(tblHistory[FinP],169),NA()))</f>
        <v/>
      </c>
      <c r="M170" s="46">
        <f>IF(J170="",NA(),IFERROR(INDEX(tblHistory[CreditP],169),NA()))</f>
        <v/>
      </c>
      <c r="N170" s="46">
        <f>IF(J170="",NA(),IFERROR(INDEX(tblHistory[Score],169),NA()))</f>
        <v/>
      </c>
    </row>
    <row r="171">
      <c r="J171" s="48">
        <f>IFERROR(IF(INDEX(tblHistory[Date],170)&gt;MAX(tblHistory[Date])-364,INDEX(tblHistory[Date],170),""),"")</f>
        <v/>
      </c>
      <c r="K171" s="46">
        <f>IF(J171="",NA(),IFERROR(INDEX(tblHistory[EquityP],170),NA()))</f>
        <v/>
      </c>
      <c r="L171" s="46">
        <f>IF(J171="",NA(),IFERROR(INDEX(tblHistory[FinP],170),NA()))</f>
        <v/>
      </c>
      <c r="M171" s="46">
        <f>IF(J171="",NA(),IFERROR(INDEX(tblHistory[CreditP],170),NA()))</f>
        <v/>
      </c>
      <c r="N171" s="46">
        <f>IF(J171="",NA(),IFERROR(INDEX(tblHistory[Score],170),NA()))</f>
        <v/>
      </c>
    </row>
    <row r="172">
      <c r="J172" s="48">
        <f>IFERROR(IF(INDEX(tblHistory[Date],171)&gt;MAX(tblHistory[Date])-364,INDEX(tblHistory[Date],171),""),"")</f>
        <v/>
      </c>
      <c r="K172" s="46">
        <f>IF(J172="",NA(),IFERROR(INDEX(tblHistory[EquityP],171),NA()))</f>
        <v/>
      </c>
      <c r="L172" s="46">
        <f>IF(J172="",NA(),IFERROR(INDEX(tblHistory[FinP],171),NA()))</f>
        <v/>
      </c>
      <c r="M172" s="46">
        <f>IF(J172="",NA(),IFERROR(INDEX(tblHistory[CreditP],171),NA()))</f>
        <v/>
      </c>
      <c r="N172" s="46">
        <f>IF(J172="",NA(),IFERROR(INDEX(tblHistory[Score],171),NA()))</f>
        <v/>
      </c>
    </row>
    <row r="173">
      <c r="J173" s="48">
        <f>IFERROR(IF(INDEX(tblHistory[Date],172)&gt;MAX(tblHistory[Date])-364,INDEX(tblHistory[Date],172),""),"")</f>
        <v/>
      </c>
      <c r="K173" s="46">
        <f>IF(J173="",NA(),IFERROR(INDEX(tblHistory[EquityP],172),NA()))</f>
        <v/>
      </c>
      <c r="L173" s="46">
        <f>IF(J173="",NA(),IFERROR(INDEX(tblHistory[FinP],172),NA()))</f>
        <v/>
      </c>
      <c r="M173" s="46">
        <f>IF(J173="",NA(),IFERROR(INDEX(tblHistory[CreditP],172),NA()))</f>
        <v/>
      </c>
      <c r="N173" s="46">
        <f>IF(J173="",NA(),IFERROR(INDEX(tblHistory[Score],172),NA()))</f>
        <v/>
      </c>
    </row>
    <row r="174">
      <c r="J174" s="48">
        <f>IFERROR(IF(INDEX(tblHistory[Date],173)&gt;MAX(tblHistory[Date])-364,INDEX(tblHistory[Date],173),""),"")</f>
        <v/>
      </c>
      <c r="K174" s="46">
        <f>IF(J174="",NA(),IFERROR(INDEX(tblHistory[EquityP],173),NA()))</f>
        <v/>
      </c>
      <c r="L174" s="46">
        <f>IF(J174="",NA(),IFERROR(INDEX(tblHistory[FinP],173),NA()))</f>
        <v/>
      </c>
      <c r="M174" s="46">
        <f>IF(J174="",NA(),IFERROR(INDEX(tblHistory[CreditP],173),NA()))</f>
        <v/>
      </c>
      <c r="N174" s="46">
        <f>IF(J174="",NA(),IFERROR(INDEX(tblHistory[Score],173),NA()))</f>
        <v/>
      </c>
    </row>
    <row r="175">
      <c r="J175" s="48">
        <f>IFERROR(IF(INDEX(tblHistory[Date],174)&gt;MAX(tblHistory[Date])-364,INDEX(tblHistory[Date],174),""),"")</f>
        <v/>
      </c>
      <c r="K175" s="46">
        <f>IF(J175="",NA(),IFERROR(INDEX(tblHistory[EquityP],174),NA()))</f>
        <v/>
      </c>
      <c r="L175" s="46">
        <f>IF(J175="",NA(),IFERROR(INDEX(tblHistory[FinP],174),NA()))</f>
        <v/>
      </c>
      <c r="M175" s="46">
        <f>IF(J175="",NA(),IFERROR(INDEX(tblHistory[CreditP],174),NA()))</f>
        <v/>
      </c>
      <c r="N175" s="46">
        <f>IF(J175="",NA(),IFERROR(INDEX(tblHistory[Score],174),NA()))</f>
        <v/>
      </c>
    </row>
    <row r="176">
      <c r="J176" s="48">
        <f>IFERROR(IF(INDEX(tblHistory[Date],175)&gt;MAX(tblHistory[Date])-364,INDEX(tblHistory[Date],175),""),"")</f>
        <v/>
      </c>
      <c r="K176" s="46">
        <f>IF(J176="",NA(),IFERROR(INDEX(tblHistory[EquityP],175),NA()))</f>
        <v/>
      </c>
      <c r="L176" s="46">
        <f>IF(J176="",NA(),IFERROR(INDEX(tblHistory[FinP],175),NA()))</f>
        <v/>
      </c>
      <c r="M176" s="46">
        <f>IF(J176="",NA(),IFERROR(INDEX(tblHistory[CreditP],175),NA()))</f>
        <v/>
      </c>
      <c r="N176" s="46">
        <f>IF(J176="",NA(),IFERROR(INDEX(tblHistory[Score],175),NA()))</f>
        <v/>
      </c>
    </row>
    <row r="177">
      <c r="J177" s="48">
        <f>IFERROR(IF(INDEX(tblHistory[Date],176)&gt;MAX(tblHistory[Date])-364,INDEX(tblHistory[Date],176),""),"")</f>
        <v/>
      </c>
      <c r="K177" s="46">
        <f>IF(J177="",NA(),IFERROR(INDEX(tblHistory[EquityP],176),NA()))</f>
        <v/>
      </c>
      <c r="L177" s="46">
        <f>IF(J177="",NA(),IFERROR(INDEX(tblHistory[FinP],176),NA()))</f>
        <v/>
      </c>
      <c r="M177" s="46">
        <f>IF(J177="",NA(),IFERROR(INDEX(tblHistory[CreditP],176),NA()))</f>
        <v/>
      </c>
      <c r="N177" s="46">
        <f>IF(J177="",NA(),IFERROR(INDEX(tblHistory[Score],176),NA()))</f>
        <v/>
      </c>
    </row>
    <row r="178">
      <c r="J178" s="48">
        <f>IFERROR(IF(INDEX(tblHistory[Date],177)&gt;MAX(tblHistory[Date])-364,INDEX(tblHistory[Date],177),""),"")</f>
        <v/>
      </c>
      <c r="K178" s="46">
        <f>IF(J178="",NA(),IFERROR(INDEX(tblHistory[EquityP],177),NA()))</f>
        <v/>
      </c>
      <c r="L178" s="46">
        <f>IF(J178="",NA(),IFERROR(INDEX(tblHistory[FinP],177),NA()))</f>
        <v/>
      </c>
      <c r="M178" s="46">
        <f>IF(J178="",NA(),IFERROR(INDEX(tblHistory[CreditP],177),NA()))</f>
        <v/>
      </c>
      <c r="N178" s="46">
        <f>IF(J178="",NA(),IFERROR(INDEX(tblHistory[Score],177),NA()))</f>
        <v/>
      </c>
    </row>
    <row r="179">
      <c r="J179" s="48">
        <f>IFERROR(IF(INDEX(tblHistory[Date],178)&gt;MAX(tblHistory[Date])-364,INDEX(tblHistory[Date],178),""),"")</f>
        <v/>
      </c>
      <c r="K179" s="46">
        <f>IF(J179="",NA(),IFERROR(INDEX(tblHistory[EquityP],178),NA()))</f>
        <v/>
      </c>
      <c r="L179" s="46">
        <f>IF(J179="",NA(),IFERROR(INDEX(tblHistory[FinP],178),NA()))</f>
        <v/>
      </c>
      <c r="M179" s="46">
        <f>IF(J179="",NA(),IFERROR(INDEX(tblHistory[CreditP],178),NA()))</f>
        <v/>
      </c>
      <c r="N179" s="46">
        <f>IF(J179="",NA(),IFERROR(INDEX(tblHistory[Score],178),NA()))</f>
        <v/>
      </c>
    </row>
    <row r="180">
      <c r="J180" s="48">
        <f>IFERROR(IF(INDEX(tblHistory[Date],179)&gt;MAX(tblHistory[Date])-364,INDEX(tblHistory[Date],179),""),"")</f>
        <v/>
      </c>
      <c r="K180" s="46">
        <f>IF(J180="",NA(),IFERROR(INDEX(tblHistory[EquityP],179),NA()))</f>
        <v/>
      </c>
      <c r="L180" s="46">
        <f>IF(J180="",NA(),IFERROR(INDEX(tblHistory[FinP],179),NA()))</f>
        <v/>
      </c>
      <c r="M180" s="46">
        <f>IF(J180="",NA(),IFERROR(INDEX(tblHistory[CreditP],179),NA()))</f>
        <v/>
      </c>
      <c r="N180" s="46">
        <f>IF(J180="",NA(),IFERROR(INDEX(tblHistory[Score],179),NA()))</f>
        <v/>
      </c>
    </row>
    <row r="181">
      <c r="J181" s="48">
        <f>IFERROR(IF(INDEX(tblHistory[Date],180)&gt;MAX(tblHistory[Date])-364,INDEX(tblHistory[Date],180),""),"")</f>
        <v/>
      </c>
      <c r="K181" s="46">
        <f>IF(J181="",NA(),IFERROR(INDEX(tblHistory[EquityP],180),NA()))</f>
        <v/>
      </c>
      <c r="L181" s="46">
        <f>IF(J181="",NA(),IFERROR(INDEX(tblHistory[FinP],180),NA()))</f>
        <v/>
      </c>
      <c r="M181" s="46">
        <f>IF(J181="",NA(),IFERROR(INDEX(tblHistory[CreditP],180),NA()))</f>
        <v/>
      </c>
      <c r="N181" s="46">
        <f>IF(J181="",NA(),IFERROR(INDEX(tblHistory[Score],180),NA()))</f>
        <v/>
      </c>
    </row>
    <row r="182">
      <c r="J182" s="48">
        <f>IFERROR(IF(INDEX(tblHistory[Date],181)&gt;MAX(tblHistory[Date])-364,INDEX(tblHistory[Date],181),""),"")</f>
        <v/>
      </c>
      <c r="K182" s="46">
        <f>IF(J182="",NA(),IFERROR(INDEX(tblHistory[EquityP],181),NA()))</f>
        <v/>
      </c>
      <c r="L182" s="46">
        <f>IF(J182="",NA(),IFERROR(INDEX(tblHistory[FinP],181),NA()))</f>
        <v/>
      </c>
      <c r="M182" s="46">
        <f>IF(J182="",NA(),IFERROR(INDEX(tblHistory[CreditP],181),NA()))</f>
        <v/>
      </c>
      <c r="N182" s="46">
        <f>IF(J182="",NA(),IFERROR(INDEX(tblHistory[Score],181),NA()))</f>
        <v/>
      </c>
    </row>
    <row r="183">
      <c r="J183" s="48">
        <f>IFERROR(IF(INDEX(tblHistory[Date],182)&gt;MAX(tblHistory[Date])-364,INDEX(tblHistory[Date],182),""),"")</f>
        <v/>
      </c>
      <c r="K183" s="46">
        <f>IF(J183="",NA(),IFERROR(INDEX(tblHistory[EquityP],182),NA()))</f>
        <v/>
      </c>
      <c r="L183" s="46">
        <f>IF(J183="",NA(),IFERROR(INDEX(tblHistory[FinP],182),NA()))</f>
        <v/>
      </c>
      <c r="M183" s="46">
        <f>IF(J183="",NA(),IFERROR(INDEX(tblHistory[CreditP],182),NA()))</f>
        <v/>
      </c>
      <c r="N183" s="46">
        <f>IF(J183="",NA(),IFERROR(INDEX(tblHistory[Score],182),NA()))</f>
        <v/>
      </c>
    </row>
    <row r="184">
      <c r="J184" s="48">
        <f>IFERROR(IF(INDEX(tblHistory[Date],183)&gt;MAX(tblHistory[Date])-364,INDEX(tblHistory[Date],183),""),"")</f>
        <v/>
      </c>
      <c r="K184" s="46">
        <f>IF(J184="",NA(),IFERROR(INDEX(tblHistory[EquityP],183),NA()))</f>
        <v/>
      </c>
      <c r="L184" s="46">
        <f>IF(J184="",NA(),IFERROR(INDEX(tblHistory[FinP],183),NA()))</f>
        <v/>
      </c>
      <c r="M184" s="46">
        <f>IF(J184="",NA(),IFERROR(INDEX(tblHistory[CreditP],183),NA()))</f>
        <v/>
      </c>
      <c r="N184" s="46">
        <f>IF(J184="",NA(),IFERROR(INDEX(tblHistory[Score],183),NA()))</f>
        <v/>
      </c>
    </row>
    <row r="185">
      <c r="J185" s="48">
        <f>IFERROR(IF(INDEX(tblHistory[Date],184)&gt;MAX(tblHistory[Date])-364,INDEX(tblHistory[Date],184),""),"")</f>
        <v/>
      </c>
      <c r="K185" s="46">
        <f>IF(J185="",NA(),IFERROR(INDEX(tblHistory[EquityP],184),NA()))</f>
        <v/>
      </c>
      <c r="L185" s="46">
        <f>IF(J185="",NA(),IFERROR(INDEX(tblHistory[FinP],184),NA()))</f>
        <v/>
      </c>
      <c r="M185" s="46">
        <f>IF(J185="",NA(),IFERROR(INDEX(tblHistory[CreditP],184),NA()))</f>
        <v/>
      </c>
      <c r="N185" s="46">
        <f>IF(J185="",NA(),IFERROR(INDEX(tblHistory[Score],184),NA()))</f>
        <v/>
      </c>
    </row>
    <row r="186">
      <c r="J186" s="48">
        <f>IFERROR(IF(INDEX(tblHistory[Date],185)&gt;MAX(tblHistory[Date])-364,INDEX(tblHistory[Date],185),""),"")</f>
        <v/>
      </c>
      <c r="K186" s="46">
        <f>IF(J186="",NA(),IFERROR(INDEX(tblHistory[EquityP],185),NA()))</f>
        <v/>
      </c>
      <c r="L186" s="46">
        <f>IF(J186="",NA(),IFERROR(INDEX(tblHistory[FinP],185),NA()))</f>
        <v/>
      </c>
      <c r="M186" s="46">
        <f>IF(J186="",NA(),IFERROR(INDEX(tblHistory[CreditP],185),NA()))</f>
        <v/>
      </c>
      <c r="N186" s="46">
        <f>IF(J186="",NA(),IFERROR(INDEX(tblHistory[Score],185),NA()))</f>
        <v/>
      </c>
    </row>
    <row r="187">
      <c r="J187" s="48">
        <f>IFERROR(IF(INDEX(tblHistory[Date],186)&gt;MAX(tblHistory[Date])-364,INDEX(tblHistory[Date],186),""),"")</f>
        <v/>
      </c>
      <c r="K187" s="46">
        <f>IF(J187="",NA(),IFERROR(INDEX(tblHistory[EquityP],186),NA()))</f>
        <v/>
      </c>
      <c r="L187" s="46">
        <f>IF(J187="",NA(),IFERROR(INDEX(tblHistory[FinP],186),NA()))</f>
        <v/>
      </c>
      <c r="M187" s="46">
        <f>IF(J187="",NA(),IFERROR(INDEX(tblHistory[CreditP],186),NA()))</f>
        <v/>
      </c>
      <c r="N187" s="46">
        <f>IF(J187="",NA(),IFERROR(INDEX(tblHistory[Score],186),NA()))</f>
        <v/>
      </c>
    </row>
    <row r="188">
      <c r="J188" s="48">
        <f>IFERROR(IF(INDEX(tblHistory[Date],187)&gt;MAX(tblHistory[Date])-364,INDEX(tblHistory[Date],187),""),"")</f>
        <v/>
      </c>
      <c r="K188" s="46">
        <f>IF(J188="",NA(),IFERROR(INDEX(tblHistory[EquityP],187),NA()))</f>
        <v/>
      </c>
      <c r="L188" s="46">
        <f>IF(J188="",NA(),IFERROR(INDEX(tblHistory[FinP],187),NA()))</f>
        <v/>
      </c>
      <c r="M188" s="46">
        <f>IF(J188="",NA(),IFERROR(INDEX(tblHistory[CreditP],187),NA()))</f>
        <v/>
      </c>
      <c r="N188" s="46">
        <f>IF(J188="",NA(),IFERROR(INDEX(tblHistory[Score],187),NA()))</f>
        <v/>
      </c>
    </row>
    <row r="189">
      <c r="J189" s="48">
        <f>IFERROR(IF(INDEX(tblHistory[Date],188)&gt;MAX(tblHistory[Date])-364,INDEX(tblHistory[Date],188),""),"")</f>
        <v/>
      </c>
      <c r="K189" s="46">
        <f>IF(J189="",NA(),IFERROR(INDEX(tblHistory[EquityP],188),NA()))</f>
        <v/>
      </c>
      <c r="L189" s="46">
        <f>IF(J189="",NA(),IFERROR(INDEX(tblHistory[FinP],188),NA()))</f>
        <v/>
      </c>
      <c r="M189" s="46">
        <f>IF(J189="",NA(),IFERROR(INDEX(tblHistory[CreditP],188),NA()))</f>
        <v/>
      </c>
      <c r="N189" s="46">
        <f>IF(J189="",NA(),IFERROR(INDEX(tblHistory[Score],188),NA()))</f>
        <v/>
      </c>
    </row>
    <row r="190">
      <c r="J190" s="48">
        <f>IFERROR(IF(INDEX(tblHistory[Date],189)&gt;MAX(tblHistory[Date])-364,INDEX(tblHistory[Date],189),""),"")</f>
        <v/>
      </c>
      <c r="K190" s="46">
        <f>IF(J190="",NA(),IFERROR(INDEX(tblHistory[EquityP],189),NA()))</f>
        <v/>
      </c>
      <c r="L190" s="46">
        <f>IF(J190="",NA(),IFERROR(INDEX(tblHistory[FinP],189),NA()))</f>
        <v/>
      </c>
      <c r="M190" s="46">
        <f>IF(J190="",NA(),IFERROR(INDEX(tblHistory[CreditP],189),NA()))</f>
        <v/>
      </c>
      <c r="N190" s="46">
        <f>IF(J190="",NA(),IFERROR(INDEX(tblHistory[Score],189),NA()))</f>
        <v/>
      </c>
    </row>
    <row r="191">
      <c r="J191" s="48">
        <f>IFERROR(IF(INDEX(tblHistory[Date],190)&gt;MAX(tblHistory[Date])-364,INDEX(tblHistory[Date],190),""),"")</f>
        <v/>
      </c>
      <c r="K191" s="46">
        <f>IF(J191="",NA(),IFERROR(INDEX(tblHistory[EquityP],190),NA()))</f>
        <v/>
      </c>
      <c r="L191" s="46">
        <f>IF(J191="",NA(),IFERROR(INDEX(tblHistory[FinP],190),NA()))</f>
        <v/>
      </c>
      <c r="M191" s="46">
        <f>IF(J191="",NA(),IFERROR(INDEX(tblHistory[CreditP],190),NA()))</f>
        <v/>
      </c>
      <c r="N191" s="46">
        <f>IF(J191="",NA(),IFERROR(INDEX(tblHistory[Score],190),NA()))</f>
        <v/>
      </c>
    </row>
    <row r="192">
      <c r="J192" s="48">
        <f>IFERROR(IF(INDEX(tblHistory[Date],191)&gt;MAX(tblHistory[Date])-364,INDEX(tblHistory[Date],191),""),"")</f>
        <v/>
      </c>
      <c r="K192" s="46">
        <f>IF(J192="",NA(),IFERROR(INDEX(tblHistory[EquityP],191),NA()))</f>
        <v/>
      </c>
      <c r="L192" s="46">
        <f>IF(J192="",NA(),IFERROR(INDEX(tblHistory[FinP],191),NA()))</f>
        <v/>
      </c>
      <c r="M192" s="46">
        <f>IF(J192="",NA(),IFERROR(INDEX(tblHistory[CreditP],191),NA()))</f>
        <v/>
      </c>
      <c r="N192" s="46">
        <f>IF(J192="",NA(),IFERROR(INDEX(tblHistory[Score],191),NA()))</f>
        <v/>
      </c>
    </row>
    <row r="193">
      <c r="J193" s="48">
        <f>IFERROR(IF(INDEX(tblHistory[Date],192)&gt;MAX(tblHistory[Date])-364,INDEX(tblHistory[Date],192),""),"")</f>
        <v/>
      </c>
      <c r="K193" s="46">
        <f>IF(J193="",NA(),IFERROR(INDEX(tblHistory[EquityP],192),NA()))</f>
        <v/>
      </c>
      <c r="L193" s="46">
        <f>IF(J193="",NA(),IFERROR(INDEX(tblHistory[FinP],192),NA()))</f>
        <v/>
      </c>
      <c r="M193" s="46">
        <f>IF(J193="",NA(),IFERROR(INDEX(tblHistory[CreditP],192),NA()))</f>
        <v/>
      </c>
      <c r="N193" s="46">
        <f>IF(J193="",NA(),IFERROR(INDEX(tblHistory[Score],192),NA()))</f>
        <v/>
      </c>
    </row>
    <row r="194">
      <c r="J194" s="48">
        <f>IFERROR(IF(INDEX(tblHistory[Date],193)&gt;MAX(tblHistory[Date])-364,INDEX(tblHistory[Date],193),""),"")</f>
        <v/>
      </c>
      <c r="K194" s="46">
        <f>IF(J194="",NA(),IFERROR(INDEX(tblHistory[EquityP],193),NA()))</f>
        <v/>
      </c>
      <c r="L194" s="46">
        <f>IF(J194="",NA(),IFERROR(INDEX(tblHistory[FinP],193),NA()))</f>
        <v/>
      </c>
      <c r="M194" s="46">
        <f>IF(J194="",NA(),IFERROR(INDEX(tblHistory[CreditP],193),NA()))</f>
        <v/>
      </c>
      <c r="N194" s="46">
        <f>IF(J194="",NA(),IFERROR(INDEX(tblHistory[Score],193),NA()))</f>
        <v/>
      </c>
    </row>
    <row r="195">
      <c r="J195" s="48">
        <f>IFERROR(IF(INDEX(tblHistory[Date],194)&gt;MAX(tblHistory[Date])-364,INDEX(tblHistory[Date],194),""),"")</f>
        <v/>
      </c>
      <c r="K195" s="46">
        <f>IF(J195="",NA(),IFERROR(INDEX(tblHistory[EquityP],194),NA()))</f>
        <v/>
      </c>
      <c r="L195" s="46">
        <f>IF(J195="",NA(),IFERROR(INDEX(tblHistory[FinP],194),NA()))</f>
        <v/>
      </c>
      <c r="M195" s="46">
        <f>IF(J195="",NA(),IFERROR(INDEX(tblHistory[CreditP],194),NA()))</f>
        <v/>
      </c>
      <c r="N195" s="46">
        <f>IF(J195="",NA(),IFERROR(INDEX(tblHistory[Score],194),NA()))</f>
        <v/>
      </c>
    </row>
    <row r="196">
      <c r="J196" s="48">
        <f>IFERROR(IF(INDEX(tblHistory[Date],195)&gt;MAX(tblHistory[Date])-364,INDEX(tblHistory[Date],195),""),"")</f>
        <v/>
      </c>
      <c r="K196" s="46">
        <f>IF(J196="",NA(),IFERROR(INDEX(tblHistory[EquityP],195),NA()))</f>
        <v/>
      </c>
      <c r="L196" s="46">
        <f>IF(J196="",NA(),IFERROR(INDEX(tblHistory[FinP],195),NA()))</f>
        <v/>
      </c>
      <c r="M196" s="46">
        <f>IF(J196="",NA(),IFERROR(INDEX(tblHistory[CreditP],195),NA()))</f>
        <v/>
      </c>
      <c r="N196" s="46">
        <f>IF(J196="",NA(),IFERROR(INDEX(tblHistory[Score],195),NA()))</f>
        <v/>
      </c>
    </row>
    <row r="197">
      <c r="J197" s="48">
        <f>IFERROR(IF(INDEX(tblHistory[Date],196)&gt;MAX(tblHistory[Date])-364,INDEX(tblHistory[Date],196),""),"")</f>
        <v/>
      </c>
      <c r="K197" s="46">
        <f>IF(J197="",NA(),IFERROR(INDEX(tblHistory[EquityP],196),NA()))</f>
        <v/>
      </c>
      <c r="L197" s="46">
        <f>IF(J197="",NA(),IFERROR(INDEX(tblHistory[FinP],196),NA()))</f>
        <v/>
      </c>
      <c r="M197" s="46">
        <f>IF(J197="",NA(),IFERROR(INDEX(tblHistory[CreditP],196),NA()))</f>
        <v/>
      </c>
      <c r="N197" s="46">
        <f>IF(J197="",NA(),IFERROR(INDEX(tblHistory[Score],196),NA()))</f>
        <v/>
      </c>
    </row>
    <row r="198">
      <c r="J198" s="48">
        <f>IFERROR(IF(INDEX(tblHistory[Date],197)&gt;MAX(tblHistory[Date])-364,INDEX(tblHistory[Date],197),""),"")</f>
        <v/>
      </c>
      <c r="K198" s="46">
        <f>IF(J198="",NA(),IFERROR(INDEX(tblHistory[EquityP],197),NA()))</f>
        <v/>
      </c>
      <c r="L198" s="46">
        <f>IF(J198="",NA(),IFERROR(INDEX(tblHistory[FinP],197),NA()))</f>
        <v/>
      </c>
      <c r="M198" s="46">
        <f>IF(J198="",NA(),IFERROR(INDEX(tblHistory[CreditP],197),NA()))</f>
        <v/>
      </c>
      <c r="N198" s="46">
        <f>IF(J198="",NA(),IFERROR(INDEX(tblHistory[Score],197),NA()))</f>
        <v/>
      </c>
    </row>
    <row r="199">
      <c r="J199" s="48">
        <f>IFERROR(IF(INDEX(tblHistory[Date],198)&gt;MAX(tblHistory[Date])-364,INDEX(tblHistory[Date],198),""),"")</f>
        <v/>
      </c>
      <c r="K199" s="46">
        <f>IF(J199="",NA(),IFERROR(INDEX(tblHistory[EquityP],198),NA()))</f>
        <v/>
      </c>
      <c r="L199" s="46">
        <f>IF(J199="",NA(),IFERROR(INDEX(tblHistory[FinP],198),NA()))</f>
        <v/>
      </c>
      <c r="M199" s="46">
        <f>IF(J199="",NA(),IFERROR(INDEX(tblHistory[CreditP],198),NA()))</f>
        <v/>
      </c>
      <c r="N199" s="46">
        <f>IF(J199="",NA(),IFERROR(INDEX(tblHistory[Score],198),NA()))</f>
        <v/>
      </c>
    </row>
    <row r="200">
      <c r="J200" s="48">
        <f>IFERROR(IF(INDEX(tblHistory[Date],199)&gt;MAX(tblHistory[Date])-364,INDEX(tblHistory[Date],199),""),"")</f>
        <v/>
      </c>
      <c r="K200" s="46">
        <f>IF(J200="",NA(),IFERROR(INDEX(tblHistory[EquityP],199),NA()))</f>
        <v/>
      </c>
      <c r="L200" s="46">
        <f>IF(J200="",NA(),IFERROR(INDEX(tblHistory[FinP],199),NA()))</f>
        <v/>
      </c>
      <c r="M200" s="46">
        <f>IF(J200="",NA(),IFERROR(INDEX(tblHistory[CreditP],199),NA()))</f>
        <v/>
      </c>
      <c r="N200" s="46">
        <f>IF(J200="",NA(),IFERROR(INDEX(tblHistory[Score],199),NA()))</f>
        <v/>
      </c>
    </row>
    <row r="201">
      <c r="J201" s="48">
        <f>IFERROR(IF(INDEX(tblHistory[Date],200)&gt;MAX(tblHistory[Date])-364,INDEX(tblHistory[Date],200),""),"")</f>
        <v/>
      </c>
      <c r="K201" s="46">
        <f>IF(J201="",NA(),IFERROR(INDEX(tblHistory[EquityP],200),NA()))</f>
        <v/>
      </c>
      <c r="L201" s="46">
        <f>IF(J201="",NA(),IFERROR(INDEX(tblHistory[FinP],200),NA()))</f>
        <v/>
      </c>
      <c r="M201" s="46">
        <f>IF(J201="",NA(),IFERROR(INDEX(tblHistory[CreditP],200),NA()))</f>
        <v/>
      </c>
      <c r="N201" s="46">
        <f>IF(J201="",NA(),IFERROR(INDEX(tblHistory[Score],200),NA()))</f>
        <v/>
      </c>
    </row>
    <row r="202">
      <c r="J202" s="48">
        <f>IFERROR(IF(INDEX(tblHistory[Date],201)&gt;MAX(tblHistory[Date])-364,INDEX(tblHistory[Date],201),""),"")</f>
        <v/>
      </c>
      <c r="K202" s="46">
        <f>IF(J202="",NA(),IFERROR(INDEX(tblHistory[EquityP],201),NA()))</f>
        <v/>
      </c>
      <c r="L202" s="46">
        <f>IF(J202="",NA(),IFERROR(INDEX(tblHistory[FinP],201),NA()))</f>
        <v/>
      </c>
      <c r="M202" s="46">
        <f>IF(J202="",NA(),IFERROR(INDEX(tblHistory[CreditP],201),NA()))</f>
        <v/>
      </c>
      <c r="N202" s="46">
        <f>IF(J202="",NA(),IFERROR(INDEX(tblHistory[Score],201),NA()))</f>
        <v/>
      </c>
    </row>
    <row r="203">
      <c r="J203" s="48">
        <f>IFERROR(IF(INDEX(tblHistory[Date],202)&gt;MAX(tblHistory[Date])-364,INDEX(tblHistory[Date],202),""),"")</f>
        <v/>
      </c>
      <c r="K203" s="46">
        <f>IF(J203="",NA(),IFERROR(INDEX(tblHistory[EquityP],202),NA()))</f>
        <v/>
      </c>
      <c r="L203" s="46">
        <f>IF(J203="",NA(),IFERROR(INDEX(tblHistory[FinP],202),NA()))</f>
        <v/>
      </c>
      <c r="M203" s="46">
        <f>IF(J203="",NA(),IFERROR(INDEX(tblHistory[CreditP],202),NA()))</f>
        <v/>
      </c>
      <c r="N203" s="46">
        <f>IF(J203="",NA(),IFERROR(INDEX(tblHistory[Score],202),NA()))</f>
        <v/>
      </c>
    </row>
    <row r="204">
      <c r="J204" s="48">
        <f>IFERROR(IF(INDEX(tblHistory[Date],203)&gt;MAX(tblHistory[Date])-364,INDEX(tblHistory[Date],203),""),"")</f>
        <v/>
      </c>
      <c r="K204" s="46">
        <f>IF(J204="",NA(),IFERROR(INDEX(tblHistory[EquityP],203),NA()))</f>
        <v/>
      </c>
      <c r="L204" s="46">
        <f>IF(J204="",NA(),IFERROR(INDEX(tblHistory[FinP],203),NA()))</f>
        <v/>
      </c>
      <c r="M204" s="46">
        <f>IF(J204="",NA(),IFERROR(INDEX(tblHistory[CreditP],203),NA()))</f>
        <v/>
      </c>
      <c r="N204" s="46">
        <f>IF(J204="",NA(),IFERROR(INDEX(tblHistory[Score],203),NA()))</f>
        <v/>
      </c>
    </row>
    <row r="205">
      <c r="J205" s="48">
        <f>IFERROR(IF(INDEX(tblHistory[Date],204)&gt;MAX(tblHistory[Date])-364,INDEX(tblHistory[Date],204),""),"")</f>
        <v/>
      </c>
      <c r="K205" s="46">
        <f>IF(J205="",NA(),IFERROR(INDEX(tblHistory[EquityP],204),NA()))</f>
        <v/>
      </c>
      <c r="L205" s="46">
        <f>IF(J205="",NA(),IFERROR(INDEX(tblHistory[FinP],204),NA()))</f>
        <v/>
      </c>
      <c r="M205" s="46">
        <f>IF(J205="",NA(),IFERROR(INDEX(tblHistory[CreditP],204),NA()))</f>
        <v/>
      </c>
      <c r="N205" s="46">
        <f>IF(J205="",NA(),IFERROR(INDEX(tblHistory[Score],204),NA()))</f>
        <v/>
      </c>
    </row>
    <row r="206">
      <c r="J206" s="48">
        <f>IFERROR(IF(INDEX(tblHistory[Date],205)&gt;MAX(tblHistory[Date])-364,INDEX(tblHistory[Date],205),""),"")</f>
        <v/>
      </c>
      <c r="K206" s="46">
        <f>IF(J206="",NA(),IFERROR(INDEX(tblHistory[EquityP],205),NA()))</f>
        <v/>
      </c>
      <c r="L206" s="46">
        <f>IF(J206="",NA(),IFERROR(INDEX(tblHistory[FinP],205),NA()))</f>
        <v/>
      </c>
      <c r="M206" s="46">
        <f>IF(J206="",NA(),IFERROR(INDEX(tblHistory[CreditP],205),NA()))</f>
        <v/>
      </c>
      <c r="N206" s="46">
        <f>IF(J206="",NA(),IFERROR(INDEX(tblHistory[Score],205),NA()))</f>
        <v/>
      </c>
    </row>
    <row r="207">
      <c r="J207" s="48">
        <f>IFERROR(IF(INDEX(tblHistory[Date],206)&gt;MAX(tblHistory[Date])-364,INDEX(tblHistory[Date],206),""),"")</f>
        <v/>
      </c>
      <c r="K207" s="46">
        <f>IF(J207="",NA(),IFERROR(INDEX(tblHistory[EquityP],206),NA()))</f>
        <v/>
      </c>
      <c r="L207" s="46">
        <f>IF(J207="",NA(),IFERROR(INDEX(tblHistory[FinP],206),NA()))</f>
        <v/>
      </c>
      <c r="M207" s="46">
        <f>IF(J207="",NA(),IFERROR(INDEX(tblHistory[CreditP],206),NA()))</f>
        <v/>
      </c>
      <c r="N207" s="46">
        <f>IF(J207="",NA(),IFERROR(INDEX(tblHistory[Score],206),NA()))</f>
        <v/>
      </c>
    </row>
    <row r="208">
      <c r="J208" s="48">
        <f>IFERROR(IF(INDEX(tblHistory[Date],207)&gt;MAX(tblHistory[Date])-364,INDEX(tblHistory[Date],207),""),"")</f>
        <v/>
      </c>
      <c r="K208" s="46">
        <f>IF(J208="",NA(),IFERROR(INDEX(tblHistory[EquityP],207),NA()))</f>
        <v/>
      </c>
      <c r="L208" s="46">
        <f>IF(J208="",NA(),IFERROR(INDEX(tblHistory[FinP],207),NA()))</f>
        <v/>
      </c>
      <c r="M208" s="46">
        <f>IF(J208="",NA(),IFERROR(INDEX(tblHistory[CreditP],207),NA()))</f>
        <v/>
      </c>
      <c r="N208" s="46">
        <f>IF(J208="",NA(),IFERROR(INDEX(tblHistory[Score],207),NA()))</f>
        <v/>
      </c>
    </row>
    <row r="209">
      <c r="J209" s="48">
        <f>IFERROR(IF(INDEX(tblHistory[Date],208)&gt;MAX(tblHistory[Date])-364,INDEX(tblHistory[Date],208),""),"")</f>
        <v/>
      </c>
      <c r="K209" s="46">
        <f>IF(J209="",NA(),IFERROR(INDEX(tblHistory[EquityP],208),NA()))</f>
        <v/>
      </c>
      <c r="L209" s="46">
        <f>IF(J209="",NA(),IFERROR(INDEX(tblHistory[FinP],208),NA()))</f>
        <v/>
      </c>
      <c r="M209" s="46">
        <f>IF(J209="",NA(),IFERROR(INDEX(tblHistory[CreditP],208),NA()))</f>
        <v/>
      </c>
      <c r="N209" s="46">
        <f>IF(J209="",NA(),IFERROR(INDEX(tblHistory[Score],208),NA()))</f>
        <v/>
      </c>
    </row>
    <row r="210">
      <c r="J210" s="48">
        <f>IFERROR(IF(INDEX(tblHistory[Date],209)&gt;MAX(tblHistory[Date])-364,INDEX(tblHistory[Date],209),""),"")</f>
        <v/>
      </c>
      <c r="K210" s="46">
        <f>IF(J210="",NA(),IFERROR(INDEX(tblHistory[EquityP],209),NA()))</f>
        <v/>
      </c>
      <c r="L210" s="46">
        <f>IF(J210="",NA(),IFERROR(INDEX(tblHistory[FinP],209),NA()))</f>
        <v/>
      </c>
      <c r="M210" s="46">
        <f>IF(J210="",NA(),IFERROR(INDEX(tblHistory[CreditP],209),NA()))</f>
        <v/>
      </c>
      <c r="N210" s="46">
        <f>IF(J210="",NA(),IFERROR(INDEX(tblHistory[Score],209),NA()))</f>
        <v/>
      </c>
    </row>
    <row r="211">
      <c r="J211" s="48">
        <f>IFERROR(IF(INDEX(tblHistory[Date],210)&gt;MAX(tblHistory[Date])-364,INDEX(tblHistory[Date],210),""),"")</f>
        <v/>
      </c>
      <c r="K211" s="46">
        <f>IF(J211="",NA(),IFERROR(INDEX(tblHistory[EquityP],210),NA()))</f>
        <v/>
      </c>
      <c r="L211" s="46">
        <f>IF(J211="",NA(),IFERROR(INDEX(tblHistory[FinP],210),NA()))</f>
        <v/>
      </c>
      <c r="M211" s="46">
        <f>IF(J211="",NA(),IFERROR(INDEX(tblHistory[CreditP],210),NA()))</f>
        <v/>
      </c>
      <c r="N211" s="46">
        <f>IF(J211="",NA(),IFERROR(INDEX(tblHistory[Score],210),NA()))</f>
        <v/>
      </c>
    </row>
    <row r="212">
      <c r="J212" s="48">
        <f>IFERROR(IF(INDEX(tblHistory[Date],211)&gt;MAX(tblHistory[Date])-364,INDEX(tblHistory[Date],211),""),"")</f>
        <v/>
      </c>
      <c r="K212" s="46">
        <f>IF(J212="",NA(),IFERROR(INDEX(tblHistory[EquityP],211),NA()))</f>
        <v/>
      </c>
      <c r="L212" s="46">
        <f>IF(J212="",NA(),IFERROR(INDEX(tblHistory[FinP],211),NA()))</f>
        <v/>
      </c>
      <c r="M212" s="46">
        <f>IF(J212="",NA(),IFERROR(INDEX(tblHistory[CreditP],211),NA()))</f>
        <v/>
      </c>
      <c r="N212" s="46">
        <f>IF(J212="",NA(),IFERROR(INDEX(tblHistory[Score],211),NA()))</f>
        <v/>
      </c>
    </row>
    <row r="213">
      <c r="J213" s="48">
        <f>IFERROR(IF(INDEX(tblHistory[Date],212)&gt;MAX(tblHistory[Date])-364,INDEX(tblHistory[Date],212),""),"")</f>
        <v/>
      </c>
      <c r="K213" s="46">
        <f>IF(J213="",NA(),IFERROR(INDEX(tblHistory[EquityP],212),NA()))</f>
        <v/>
      </c>
      <c r="L213" s="46">
        <f>IF(J213="",NA(),IFERROR(INDEX(tblHistory[FinP],212),NA()))</f>
        <v/>
      </c>
      <c r="M213" s="46">
        <f>IF(J213="",NA(),IFERROR(INDEX(tblHistory[CreditP],212),NA()))</f>
        <v/>
      </c>
      <c r="N213" s="46">
        <f>IF(J213="",NA(),IFERROR(INDEX(tblHistory[Score],212),NA()))</f>
        <v/>
      </c>
    </row>
    <row r="214">
      <c r="J214" s="48">
        <f>IFERROR(IF(INDEX(tblHistory[Date],213)&gt;MAX(tblHistory[Date])-364,INDEX(tblHistory[Date],213),""),"")</f>
        <v/>
      </c>
      <c r="K214" s="46">
        <f>IF(J214="",NA(),IFERROR(INDEX(tblHistory[EquityP],213),NA()))</f>
        <v/>
      </c>
      <c r="L214" s="46">
        <f>IF(J214="",NA(),IFERROR(INDEX(tblHistory[FinP],213),NA()))</f>
        <v/>
      </c>
      <c r="M214" s="46">
        <f>IF(J214="",NA(),IFERROR(INDEX(tblHistory[CreditP],213),NA()))</f>
        <v/>
      </c>
      <c r="N214" s="46">
        <f>IF(J214="",NA(),IFERROR(INDEX(tblHistory[Score],213),NA()))</f>
        <v/>
      </c>
    </row>
    <row r="215">
      <c r="J215" s="48">
        <f>IFERROR(IF(INDEX(tblHistory[Date],214)&gt;MAX(tblHistory[Date])-364,INDEX(tblHistory[Date],214),""),"")</f>
        <v/>
      </c>
      <c r="K215" s="46">
        <f>IF(J215="",NA(),IFERROR(INDEX(tblHistory[EquityP],214),NA()))</f>
        <v/>
      </c>
      <c r="L215" s="46">
        <f>IF(J215="",NA(),IFERROR(INDEX(tblHistory[FinP],214),NA()))</f>
        <v/>
      </c>
      <c r="M215" s="46">
        <f>IF(J215="",NA(),IFERROR(INDEX(tblHistory[CreditP],214),NA()))</f>
        <v/>
      </c>
      <c r="N215" s="46">
        <f>IF(J215="",NA(),IFERROR(INDEX(tblHistory[Score],214),NA()))</f>
        <v/>
      </c>
    </row>
    <row r="216">
      <c r="J216" s="48">
        <f>IFERROR(IF(INDEX(tblHistory[Date],215)&gt;MAX(tblHistory[Date])-364,INDEX(tblHistory[Date],215),""),"")</f>
        <v/>
      </c>
      <c r="K216" s="46">
        <f>IF(J216="",NA(),IFERROR(INDEX(tblHistory[EquityP],215),NA()))</f>
        <v/>
      </c>
      <c r="L216" s="46">
        <f>IF(J216="",NA(),IFERROR(INDEX(tblHistory[FinP],215),NA()))</f>
        <v/>
      </c>
      <c r="M216" s="46">
        <f>IF(J216="",NA(),IFERROR(INDEX(tblHistory[CreditP],215),NA()))</f>
        <v/>
      </c>
      <c r="N216" s="46">
        <f>IF(J216="",NA(),IFERROR(INDEX(tblHistory[Score],215),NA()))</f>
        <v/>
      </c>
    </row>
    <row r="217">
      <c r="J217" s="48">
        <f>IFERROR(IF(INDEX(tblHistory[Date],216)&gt;MAX(tblHistory[Date])-364,INDEX(tblHistory[Date],216),""),"")</f>
        <v/>
      </c>
      <c r="K217" s="46">
        <f>IF(J217="",NA(),IFERROR(INDEX(tblHistory[EquityP],216),NA()))</f>
        <v/>
      </c>
      <c r="L217" s="46">
        <f>IF(J217="",NA(),IFERROR(INDEX(tblHistory[FinP],216),NA()))</f>
        <v/>
      </c>
      <c r="M217" s="46">
        <f>IF(J217="",NA(),IFERROR(INDEX(tblHistory[CreditP],216),NA()))</f>
        <v/>
      </c>
      <c r="N217" s="46">
        <f>IF(J217="",NA(),IFERROR(INDEX(tblHistory[Score],216),NA()))</f>
        <v/>
      </c>
    </row>
    <row r="218">
      <c r="J218" s="48">
        <f>IFERROR(IF(INDEX(tblHistory[Date],217)&gt;MAX(tblHistory[Date])-364,INDEX(tblHistory[Date],217),""),"")</f>
        <v/>
      </c>
      <c r="K218" s="46">
        <f>IF(J218="",NA(),IFERROR(INDEX(tblHistory[EquityP],217),NA()))</f>
        <v/>
      </c>
      <c r="L218" s="46">
        <f>IF(J218="",NA(),IFERROR(INDEX(tblHistory[FinP],217),NA()))</f>
        <v/>
      </c>
      <c r="M218" s="46">
        <f>IF(J218="",NA(),IFERROR(INDEX(tblHistory[CreditP],217),NA()))</f>
        <v/>
      </c>
      <c r="N218" s="46">
        <f>IF(J218="",NA(),IFERROR(INDEX(tblHistory[Score],217),NA()))</f>
        <v/>
      </c>
    </row>
    <row r="219">
      <c r="J219" s="48">
        <f>IFERROR(IF(INDEX(tblHistory[Date],218)&gt;MAX(tblHistory[Date])-364,INDEX(tblHistory[Date],218),""),"")</f>
        <v/>
      </c>
      <c r="K219" s="46">
        <f>IF(J219="",NA(),IFERROR(INDEX(tblHistory[EquityP],218),NA()))</f>
        <v/>
      </c>
      <c r="L219" s="46">
        <f>IF(J219="",NA(),IFERROR(INDEX(tblHistory[FinP],218),NA()))</f>
        <v/>
      </c>
      <c r="M219" s="46">
        <f>IF(J219="",NA(),IFERROR(INDEX(tblHistory[CreditP],218),NA()))</f>
        <v/>
      </c>
      <c r="N219" s="46">
        <f>IF(J219="",NA(),IFERROR(INDEX(tblHistory[Score],218),NA()))</f>
        <v/>
      </c>
    </row>
    <row r="220">
      <c r="J220" s="48">
        <f>IFERROR(IF(INDEX(tblHistory[Date],219)&gt;MAX(tblHistory[Date])-364,INDEX(tblHistory[Date],219),""),"")</f>
        <v/>
      </c>
      <c r="K220" s="46">
        <f>IF(J220="",NA(),IFERROR(INDEX(tblHistory[EquityP],219),NA()))</f>
        <v/>
      </c>
      <c r="L220" s="46">
        <f>IF(J220="",NA(),IFERROR(INDEX(tblHistory[FinP],219),NA()))</f>
        <v/>
      </c>
      <c r="M220" s="46">
        <f>IF(J220="",NA(),IFERROR(INDEX(tblHistory[CreditP],219),NA()))</f>
        <v/>
      </c>
      <c r="N220" s="46">
        <f>IF(J220="",NA(),IFERROR(INDEX(tblHistory[Score],219),NA()))</f>
        <v/>
      </c>
    </row>
    <row r="221">
      <c r="J221" s="48">
        <f>IFERROR(IF(INDEX(tblHistory[Date],220)&gt;MAX(tblHistory[Date])-364,INDEX(tblHistory[Date],220),""),"")</f>
        <v/>
      </c>
      <c r="K221" s="46">
        <f>IF(J221="",NA(),IFERROR(INDEX(tblHistory[EquityP],220),NA()))</f>
        <v/>
      </c>
      <c r="L221" s="46">
        <f>IF(J221="",NA(),IFERROR(INDEX(tblHistory[FinP],220),NA()))</f>
        <v/>
      </c>
      <c r="M221" s="46">
        <f>IF(J221="",NA(),IFERROR(INDEX(tblHistory[CreditP],220),NA()))</f>
        <v/>
      </c>
      <c r="N221" s="46">
        <f>IF(J221="",NA(),IFERROR(INDEX(tblHistory[Score],220),NA()))</f>
        <v/>
      </c>
    </row>
    <row r="222">
      <c r="J222" s="48">
        <f>IFERROR(IF(INDEX(tblHistory[Date],221)&gt;MAX(tblHistory[Date])-364,INDEX(tblHistory[Date],221),""),"")</f>
        <v/>
      </c>
      <c r="K222" s="46">
        <f>IF(J222="",NA(),IFERROR(INDEX(tblHistory[EquityP],221),NA()))</f>
        <v/>
      </c>
      <c r="L222" s="46">
        <f>IF(J222="",NA(),IFERROR(INDEX(tblHistory[FinP],221),NA()))</f>
        <v/>
      </c>
      <c r="M222" s="46">
        <f>IF(J222="",NA(),IFERROR(INDEX(tblHistory[CreditP],221),NA()))</f>
        <v/>
      </c>
      <c r="N222" s="46">
        <f>IF(J222="",NA(),IFERROR(INDEX(tblHistory[Score],221),NA()))</f>
        <v/>
      </c>
    </row>
    <row r="223">
      <c r="J223" s="48">
        <f>IFERROR(IF(INDEX(tblHistory[Date],222)&gt;MAX(tblHistory[Date])-364,INDEX(tblHistory[Date],222),""),"")</f>
        <v/>
      </c>
      <c r="K223" s="46">
        <f>IF(J223="",NA(),IFERROR(INDEX(tblHistory[EquityP],222),NA()))</f>
        <v/>
      </c>
      <c r="L223" s="46">
        <f>IF(J223="",NA(),IFERROR(INDEX(tblHistory[FinP],222),NA()))</f>
        <v/>
      </c>
      <c r="M223" s="46">
        <f>IF(J223="",NA(),IFERROR(INDEX(tblHistory[CreditP],222),NA()))</f>
        <v/>
      </c>
      <c r="N223" s="46">
        <f>IF(J223="",NA(),IFERROR(INDEX(tblHistory[Score],222),NA()))</f>
        <v/>
      </c>
    </row>
    <row r="224">
      <c r="J224" s="48">
        <f>IFERROR(IF(INDEX(tblHistory[Date],223)&gt;MAX(tblHistory[Date])-364,INDEX(tblHistory[Date],223),""),"")</f>
        <v/>
      </c>
      <c r="K224" s="46">
        <f>IF(J224="",NA(),IFERROR(INDEX(tblHistory[EquityP],223),NA()))</f>
        <v/>
      </c>
      <c r="L224" s="46">
        <f>IF(J224="",NA(),IFERROR(INDEX(tblHistory[FinP],223),NA()))</f>
        <v/>
      </c>
      <c r="M224" s="46">
        <f>IF(J224="",NA(),IFERROR(INDEX(tblHistory[CreditP],223),NA()))</f>
        <v/>
      </c>
      <c r="N224" s="46">
        <f>IF(J224="",NA(),IFERROR(INDEX(tblHistory[Score],223),NA()))</f>
        <v/>
      </c>
    </row>
    <row r="225">
      <c r="J225" s="48">
        <f>IFERROR(IF(INDEX(tblHistory[Date],224)&gt;MAX(tblHistory[Date])-364,INDEX(tblHistory[Date],224),""),"")</f>
        <v/>
      </c>
      <c r="K225" s="46">
        <f>IF(J225="",NA(),IFERROR(INDEX(tblHistory[EquityP],224),NA()))</f>
        <v/>
      </c>
      <c r="L225" s="46">
        <f>IF(J225="",NA(),IFERROR(INDEX(tblHistory[FinP],224),NA()))</f>
        <v/>
      </c>
      <c r="M225" s="46">
        <f>IF(J225="",NA(),IFERROR(INDEX(tblHistory[CreditP],224),NA()))</f>
        <v/>
      </c>
      <c r="N225" s="46">
        <f>IF(J225="",NA(),IFERROR(INDEX(tblHistory[Score],224),NA()))</f>
        <v/>
      </c>
    </row>
    <row r="226">
      <c r="J226" s="48">
        <f>IFERROR(IF(INDEX(tblHistory[Date],225)&gt;MAX(tblHistory[Date])-364,INDEX(tblHistory[Date],225),""),"")</f>
        <v/>
      </c>
      <c r="K226" s="46">
        <f>IF(J226="",NA(),IFERROR(INDEX(tblHistory[EquityP],225),NA()))</f>
        <v/>
      </c>
      <c r="L226" s="46">
        <f>IF(J226="",NA(),IFERROR(INDEX(tblHistory[FinP],225),NA()))</f>
        <v/>
      </c>
      <c r="M226" s="46">
        <f>IF(J226="",NA(),IFERROR(INDEX(tblHistory[CreditP],225),NA()))</f>
        <v/>
      </c>
      <c r="N226" s="46">
        <f>IF(J226="",NA(),IFERROR(INDEX(tblHistory[Score],225),NA()))</f>
        <v/>
      </c>
    </row>
    <row r="227">
      <c r="J227" s="48">
        <f>IFERROR(IF(INDEX(tblHistory[Date],226)&gt;MAX(tblHistory[Date])-364,INDEX(tblHistory[Date],226),""),"")</f>
        <v/>
      </c>
      <c r="K227" s="46">
        <f>IF(J227="",NA(),IFERROR(INDEX(tblHistory[EquityP],226),NA()))</f>
        <v/>
      </c>
      <c r="L227" s="46">
        <f>IF(J227="",NA(),IFERROR(INDEX(tblHistory[FinP],226),NA()))</f>
        <v/>
      </c>
      <c r="M227" s="46">
        <f>IF(J227="",NA(),IFERROR(INDEX(tblHistory[CreditP],226),NA()))</f>
        <v/>
      </c>
      <c r="N227" s="46">
        <f>IF(J227="",NA(),IFERROR(INDEX(tblHistory[Score],226),NA()))</f>
        <v/>
      </c>
    </row>
    <row r="228">
      <c r="J228" s="48">
        <f>IFERROR(IF(INDEX(tblHistory[Date],227)&gt;MAX(tblHistory[Date])-364,INDEX(tblHistory[Date],227),""),"")</f>
        <v/>
      </c>
      <c r="K228" s="46">
        <f>IF(J228="",NA(),IFERROR(INDEX(tblHistory[EquityP],227),NA()))</f>
        <v/>
      </c>
      <c r="L228" s="46">
        <f>IF(J228="",NA(),IFERROR(INDEX(tblHistory[FinP],227),NA()))</f>
        <v/>
      </c>
      <c r="M228" s="46">
        <f>IF(J228="",NA(),IFERROR(INDEX(tblHistory[CreditP],227),NA()))</f>
        <v/>
      </c>
      <c r="N228" s="46">
        <f>IF(J228="",NA(),IFERROR(INDEX(tblHistory[Score],227),NA()))</f>
        <v/>
      </c>
    </row>
    <row r="229">
      <c r="J229" s="48">
        <f>IFERROR(IF(INDEX(tblHistory[Date],228)&gt;MAX(tblHistory[Date])-364,INDEX(tblHistory[Date],228),""),"")</f>
        <v/>
      </c>
      <c r="K229" s="46">
        <f>IF(J229="",NA(),IFERROR(INDEX(tblHistory[EquityP],228),NA()))</f>
        <v/>
      </c>
      <c r="L229" s="46">
        <f>IF(J229="",NA(),IFERROR(INDEX(tblHistory[FinP],228),NA()))</f>
        <v/>
      </c>
      <c r="M229" s="46">
        <f>IF(J229="",NA(),IFERROR(INDEX(tblHistory[CreditP],228),NA()))</f>
        <v/>
      </c>
      <c r="N229" s="46">
        <f>IF(J229="",NA(),IFERROR(INDEX(tblHistory[Score],228),NA()))</f>
        <v/>
      </c>
    </row>
    <row r="230">
      <c r="J230" s="48">
        <f>IFERROR(IF(INDEX(tblHistory[Date],229)&gt;MAX(tblHistory[Date])-364,INDEX(tblHistory[Date],229),""),"")</f>
        <v/>
      </c>
      <c r="K230" s="46">
        <f>IF(J230="",NA(),IFERROR(INDEX(tblHistory[EquityP],229),NA()))</f>
        <v/>
      </c>
      <c r="L230" s="46">
        <f>IF(J230="",NA(),IFERROR(INDEX(tblHistory[FinP],229),NA()))</f>
        <v/>
      </c>
      <c r="M230" s="46">
        <f>IF(J230="",NA(),IFERROR(INDEX(tblHistory[CreditP],229),NA()))</f>
        <v/>
      </c>
      <c r="N230" s="46">
        <f>IF(J230="",NA(),IFERROR(INDEX(tblHistory[Score],229),NA()))</f>
        <v/>
      </c>
    </row>
    <row r="231">
      <c r="J231" s="48">
        <f>IFERROR(IF(INDEX(tblHistory[Date],230)&gt;MAX(tblHistory[Date])-364,INDEX(tblHistory[Date],230),""),"")</f>
        <v/>
      </c>
      <c r="K231" s="46">
        <f>IF(J231="",NA(),IFERROR(INDEX(tblHistory[EquityP],230),NA()))</f>
        <v/>
      </c>
      <c r="L231" s="46">
        <f>IF(J231="",NA(),IFERROR(INDEX(tblHistory[FinP],230),NA()))</f>
        <v/>
      </c>
      <c r="M231" s="46">
        <f>IF(J231="",NA(),IFERROR(INDEX(tblHistory[CreditP],230),NA()))</f>
        <v/>
      </c>
      <c r="N231" s="46">
        <f>IF(J231="",NA(),IFERROR(INDEX(tblHistory[Score],230),NA()))</f>
        <v/>
      </c>
    </row>
    <row r="232">
      <c r="J232" s="48">
        <f>IFERROR(IF(INDEX(tblHistory[Date],231)&gt;MAX(tblHistory[Date])-364,INDEX(tblHistory[Date],231),""),"")</f>
        <v/>
      </c>
      <c r="K232" s="46">
        <f>IF(J232="",NA(),IFERROR(INDEX(tblHistory[EquityP],231),NA()))</f>
        <v/>
      </c>
      <c r="L232" s="46">
        <f>IF(J232="",NA(),IFERROR(INDEX(tblHistory[FinP],231),NA()))</f>
        <v/>
      </c>
      <c r="M232" s="46">
        <f>IF(J232="",NA(),IFERROR(INDEX(tblHistory[CreditP],231),NA()))</f>
        <v/>
      </c>
      <c r="N232" s="46">
        <f>IF(J232="",NA(),IFERROR(INDEX(tblHistory[Score],231),NA()))</f>
        <v/>
      </c>
    </row>
    <row r="233">
      <c r="J233" s="48">
        <f>IFERROR(IF(INDEX(tblHistory[Date],232)&gt;MAX(tblHistory[Date])-364,INDEX(tblHistory[Date],232),""),"")</f>
        <v/>
      </c>
      <c r="K233" s="46">
        <f>IF(J233="",NA(),IFERROR(INDEX(tblHistory[EquityP],232),NA()))</f>
        <v/>
      </c>
      <c r="L233" s="46">
        <f>IF(J233="",NA(),IFERROR(INDEX(tblHistory[FinP],232),NA()))</f>
        <v/>
      </c>
      <c r="M233" s="46">
        <f>IF(J233="",NA(),IFERROR(INDEX(tblHistory[CreditP],232),NA()))</f>
        <v/>
      </c>
      <c r="N233" s="46">
        <f>IF(J233="",NA(),IFERROR(INDEX(tblHistory[Score],232),NA()))</f>
        <v/>
      </c>
    </row>
    <row r="234">
      <c r="J234" s="48">
        <f>IFERROR(IF(INDEX(tblHistory[Date],233)&gt;MAX(tblHistory[Date])-364,INDEX(tblHistory[Date],233),""),"")</f>
        <v/>
      </c>
      <c r="K234" s="46">
        <f>IF(J234="",NA(),IFERROR(INDEX(tblHistory[EquityP],233),NA()))</f>
        <v/>
      </c>
      <c r="L234" s="46">
        <f>IF(J234="",NA(),IFERROR(INDEX(tblHistory[FinP],233),NA()))</f>
        <v/>
      </c>
      <c r="M234" s="46">
        <f>IF(J234="",NA(),IFERROR(INDEX(tblHistory[CreditP],233),NA()))</f>
        <v/>
      </c>
      <c r="N234" s="46">
        <f>IF(J234="",NA(),IFERROR(INDEX(tblHistory[Score],233),NA()))</f>
        <v/>
      </c>
    </row>
    <row r="235">
      <c r="J235" s="48">
        <f>IFERROR(IF(INDEX(tblHistory[Date],234)&gt;MAX(tblHistory[Date])-364,INDEX(tblHistory[Date],234),""),"")</f>
        <v/>
      </c>
      <c r="K235" s="46">
        <f>IF(J235="",NA(),IFERROR(INDEX(tblHistory[EquityP],234),NA()))</f>
        <v/>
      </c>
      <c r="L235" s="46">
        <f>IF(J235="",NA(),IFERROR(INDEX(tblHistory[FinP],234),NA()))</f>
        <v/>
      </c>
      <c r="M235" s="46">
        <f>IF(J235="",NA(),IFERROR(INDEX(tblHistory[CreditP],234),NA()))</f>
        <v/>
      </c>
      <c r="N235" s="46">
        <f>IF(J235="",NA(),IFERROR(INDEX(tblHistory[Score],234),NA()))</f>
        <v/>
      </c>
    </row>
    <row r="236">
      <c r="J236" s="48">
        <f>IFERROR(IF(INDEX(tblHistory[Date],235)&gt;MAX(tblHistory[Date])-364,INDEX(tblHistory[Date],235),""),"")</f>
        <v/>
      </c>
      <c r="K236" s="46">
        <f>IF(J236="",NA(),IFERROR(INDEX(tblHistory[EquityP],235),NA()))</f>
        <v/>
      </c>
      <c r="L236" s="46">
        <f>IF(J236="",NA(),IFERROR(INDEX(tblHistory[FinP],235),NA()))</f>
        <v/>
      </c>
      <c r="M236" s="46">
        <f>IF(J236="",NA(),IFERROR(INDEX(tblHistory[CreditP],235),NA()))</f>
        <v/>
      </c>
      <c r="N236" s="46">
        <f>IF(J236="",NA(),IFERROR(INDEX(tblHistory[Score],235),NA()))</f>
        <v/>
      </c>
    </row>
    <row r="237">
      <c r="J237" s="48">
        <f>IFERROR(IF(INDEX(tblHistory[Date],236)&gt;MAX(tblHistory[Date])-364,INDEX(tblHistory[Date],236),""),"")</f>
        <v/>
      </c>
      <c r="K237" s="46">
        <f>IF(J237="",NA(),IFERROR(INDEX(tblHistory[EquityP],236),NA()))</f>
        <v/>
      </c>
      <c r="L237" s="46">
        <f>IF(J237="",NA(),IFERROR(INDEX(tblHistory[FinP],236),NA()))</f>
        <v/>
      </c>
      <c r="M237" s="46">
        <f>IF(J237="",NA(),IFERROR(INDEX(tblHistory[CreditP],236),NA()))</f>
        <v/>
      </c>
      <c r="N237" s="46">
        <f>IF(J237="",NA(),IFERROR(INDEX(tblHistory[Score],236),NA()))</f>
        <v/>
      </c>
    </row>
    <row r="238">
      <c r="J238" s="48">
        <f>IFERROR(IF(INDEX(tblHistory[Date],237)&gt;MAX(tblHistory[Date])-364,INDEX(tblHistory[Date],237),""),"")</f>
        <v/>
      </c>
      <c r="K238" s="46">
        <f>IF(J238="",NA(),IFERROR(INDEX(tblHistory[EquityP],237),NA()))</f>
        <v/>
      </c>
      <c r="L238" s="46">
        <f>IF(J238="",NA(),IFERROR(INDEX(tblHistory[FinP],237),NA()))</f>
        <v/>
      </c>
      <c r="M238" s="46">
        <f>IF(J238="",NA(),IFERROR(INDEX(tblHistory[CreditP],237),NA()))</f>
        <v/>
      </c>
      <c r="N238" s="46">
        <f>IF(J238="",NA(),IFERROR(INDEX(tblHistory[Score],237),NA()))</f>
        <v/>
      </c>
    </row>
    <row r="239">
      <c r="J239" s="48">
        <f>IFERROR(IF(INDEX(tblHistory[Date],238)&gt;MAX(tblHistory[Date])-364,INDEX(tblHistory[Date],238),""),"")</f>
        <v/>
      </c>
      <c r="K239" s="46">
        <f>IF(J239="",NA(),IFERROR(INDEX(tblHistory[EquityP],238),NA()))</f>
        <v/>
      </c>
      <c r="L239" s="46">
        <f>IF(J239="",NA(),IFERROR(INDEX(tblHistory[FinP],238),NA()))</f>
        <v/>
      </c>
      <c r="M239" s="46">
        <f>IF(J239="",NA(),IFERROR(INDEX(tblHistory[CreditP],238),NA()))</f>
        <v/>
      </c>
      <c r="N239" s="46">
        <f>IF(J239="",NA(),IFERROR(INDEX(tblHistory[Score],238),NA()))</f>
        <v/>
      </c>
    </row>
    <row r="240">
      <c r="J240" s="48">
        <f>IFERROR(IF(INDEX(tblHistory[Date],239)&gt;MAX(tblHistory[Date])-364,INDEX(tblHistory[Date],239),""),"")</f>
        <v/>
      </c>
      <c r="K240" s="46">
        <f>IF(J240="",NA(),IFERROR(INDEX(tblHistory[EquityP],239),NA()))</f>
        <v/>
      </c>
      <c r="L240" s="46">
        <f>IF(J240="",NA(),IFERROR(INDEX(tblHistory[FinP],239),NA()))</f>
        <v/>
      </c>
      <c r="M240" s="46">
        <f>IF(J240="",NA(),IFERROR(INDEX(tblHistory[CreditP],239),NA()))</f>
        <v/>
      </c>
      <c r="N240" s="46">
        <f>IF(J240="",NA(),IFERROR(INDEX(tblHistory[Score],239),NA()))</f>
        <v/>
      </c>
    </row>
    <row r="241">
      <c r="J241" s="48">
        <f>IFERROR(IF(INDEX(tblHistory[Date],240)&gt;MAX(tblHistory[Date])-364,INDEX(tblHistory[Date],240),""),"")</f>
        <v/>
      </c>
      <c r="K241" s="46">
        <f>IF(J241="",NA(),IFERROR(INDEX(tblHistory[EquityP],240),NA()))</f>
        <v/>
      </c>
      <c r="L241" s="46">
        <f>IF(J241="",NA(),IFERROR(INDEX(tblHistory[FinP],240),NA()))</f>
        <v/>
      </c>
      <c r="M241" s="46">
        <f>IF(J241="",NA(),IFERROR(INDEX(tblHistory[CreditP],240),NA()))</f>
        <v/>
      </c>
      <c r="N241" s="46">
        <f>IF(J241="",NA(),IFERROR(INDEX(tblHistory[Score],240),NA()))</f>
        <v/>
      </c>
    </row>
    <row r="242">
      <c r="J242" s="48">
        <f>IFERROR(IF(INDEX(tblHistory[Date],241)&gt;MAX(tblHistory[Date])-364,INDEX(tblHistory[Date],241),""),"")</f>
        <v/>
      </c>
      <c r="K242" s="46">
        <f>IF(J242="",NA(),IFERROR(INDEX(tblHistory[EquityP],241),NA()))</f>
        <v/>
      </c>
      <c r="L242" s="46">
        <f>IF(J242="",NA(),IFERROR(INDEX(tblHistory[FinP],241),NA()))</f>
        <v/>
      </c>
      <c r="M242" s="46">
        <f>IF(J242="",NA(),IFERROR(INDEX(tblHistory[CreditP],241),NA()))</f>
        <v/>
      </c>
      <c r="N242" s="46">
        <f>IF(J242="",NA(),IFERROR(INDEX(tblHistory[Score],241),NA()))</f>
        <v/>
      </c>
    </row>
    <row r="243">
      <c r="J243" s="48">
        <f>IFERROR(IF(INDEX(tblHistory[Date],242)&gt;MAX(tblHistory[Date])-364,INDEX(tblHistory[Date],242),""),"")</f>
        <v/>
      </c>
      <c r="K243" s="46">
        <f>IF(J243="",NA(),IFERROR(INDEX(tblHistory[EquityP],242),NA()))</f>
        <v/>
      </c>
      <c r="L243" s="46">
        <f>IF(J243="",NA(),IFERROR(INDEX(tblHistory[FinP],242),NA()))</f>
        <v/>
      </c>
      <c r="M243" s="46">
        <f>IF(J243="",NA(),IFERROR(INDEX(tblHistory[CreditP],242),NA()))</f>
        <v/>
      </c>
      <c r="N243" s="46">
        <f>IF(J243="",NA(),IFERROR(INDEX(tblHistory[Score],242),NA()))</f>
        <v/>
      </c>
    </row>
    <row r="244">
      <c r="J244" s="48">
        <f>IFERROR(IF(INDEX(tblHistory[Date],243)&gt;MAX(tblHistory[Date])-364,INDEX(tblHistory[Date],243),""),"")</f>
        <v/>
      </c>
      <c r="K244" s="46">
        <f>IF(J244="",NA(),IFERROR(INDEX(tblHistory[EquityP],243),NA()))</f>
        <v/>
      </c>
      <c r="L244" s="46">
        <f>IF(J244="",NA(),IFERROR(INDEX(tblHistory[FinP],243),NA()))</f>
        <v/>
      </c>
      <c r="M244" s="46">
        <f>IF(J244="",NA(),IFERROR(INDEX(tblHistory[CreditP],243),NA()))</f>
        <v/>
      </c>
      <c r="N244" s="46">
        <f>IF(J244="",NA(),IFERROR(INDEX(tblHistory[Score],243),NA()))</f>
        <v/>
      </c>
    </row>
    <row r="245">
      <c r="J245" s="48">
        <f>IFERROR(IF(INDEX(tblHistory[Date],244)&gt;MAX(tblHistory[Date])-364,INDEX(tblHistory[Date],244),""),"")</f>
        <v/>
      </c>
      <c r="K245" s="46">
        <f>IF(J245="",NA(),IFERROR(INDEX(tblHistory[EquityP],244),NA()))</f>
        <v/>
      </c>
      <c r="L245" s="46">
        <f>IF(J245="",NA(),IFERROR(INDEX(tblHistory[FinP],244),NA()))</f>
        <v/>
      </c>
      <c r="M245" s="46">
        <f>IF(J245="",NA(),IFERROR(INDEX(tblHistory[CreditP],244),NA()))</f>
        <v/>
      </c>
      <c r="N245" s="46">
        <f>IF(J245="",NA(),IFERROR(INDEX(tblHistory[Score],244),NA()))</f>
        <v/>
      </c>
    </row>
    <row r="246">
      <c r="J246" s="48">
        <f>IFERROR(IF(INDEX(tblHistory[Date],245)&gt;MAX(tblHistory[Date])-364,INDEX(tblHistory[Date],245),""),"")</f>
        <v/>
      </c>
      <c r="K246" s="46">
        <f>IF(J246="",NA(),IFERROR(INDEX(tblHistory[EquityP],245),NA()))</f>
        <v/>
      </c>
      <c r="L246" s="46">
        <f>IF(J246="",NA(),IFERROR(INDEX(tblHistory[FinP],245),NA()))</f>
        <v/>
      </c>
      <c r="M246" s="46">
        <f>IF(J246="",NA(),IFERROR(INDEX(tblHistory[CreditP],245),NA()))</f>
        <v/>
      </c>
      <c r="N246" s="46">
        <f>IF(J246="",NA(),IFERROR(INDEX(tblHistory[Score],245),NA()))</f>
        <v/>
      </c>
    </row>
    <row r="247">
      <c r="J247" s="48">
        <f>IFERROR(IF(INDEX(tblHistory[Date],246)&gt;MAX(tblHistory[Date])-364,INDEX(tblHistory[Date],246),""),"")</f>
        <v/>
      </c>
      <c r="K247" s="46">
        <f>IF(J247="",NA(),IFERROR(INDEX(tblHistory[EquityP],246),NA()))</f>
        <v/>
      </c>
      <c r="L247" s="46">
        <f>IF(J247="",NA(),IFERROR(INDEX(tblHistory[FinP],246),NA()))</f>
        <v/>
      </c>
      <c r="M247" s="46">
        <f>IF(J247="",NA(),IFERROR(INDEX(tblHistory[CreditP],246),NA()))</f>
        <v/>
      </c>
      <c r="N247" s="46">
        <f>IF(J247="",NA(),IFERROR(INDEX(tblHistory[Score],246),NA()))</f>
        <v/>
      </c>
    </row>
    <row r="248">
      <c r="J248" s="48">
        <f>IFERROR(IF(INDEX(tblHistory[Date],247)&gt;MAX(tblHistory[Date])-364,INDEX(tblHistory[Date],247),""),"")</f>
        <v/>
      </c>
      <c r="K248" s="46">
        <f>IF(J248="",NA(),IFERROR(INDEX(tblHistory[EquityP],247),NA()))</f>
        <v/>
      </c>
      <c r="L248" s="46">
        <f>IF(J248="",NA(),IFERROR(INDEX(tblHistory[FinP],247),NA()))</f>
        <v/>
      </c>
      <c r="M248" s="46">
        <f>IF(J248="",NA(),IFERROR(INDEX(tblHistory[CreditP],247),NA()))</f>
        <v/>
      </c>
      <c r="N248" s="46">
        <f>IF(J248="",NA(),IFERROR(INDEX(tblHistory[Score],247),NA()))</f>
        <v/>
      </c>
    </row>
    <row r="249">
      <c r="J249" s="48">
        <f>IFERROR(IF(INDEX(tblHistory[Date],248)&gt;MAX(tblHistory[Date])-364,INDEX(tblHistory[Date],248),""),"")</f>
        <v/>
      </c>
      <c r="K249" s="46">
        <f>IF(J249="",NA(),IFERROR(INDEX(tblHistory[EquityP],248),NA()))</f>
        <v/>
      </c>
      <c r="L249" s="46">
        <f>IF(J249="",NA(),IFERROR(INDEX(tblHistory[FinP],248),NA()))</f>
        <v/>
      </c>
      <c r="M249" s="46">
        <f>IF(J249="",NA(),IFERROR(INDEX(tblHistory[CreditP],248),NA()))</f>
        <v/>
      </c>
      <c r="N249" s="46">
        <f>IF(J249="",NA(),IFERROR(INDEX(tblHistory[Score],248),NA()))</f>
        <v/>
      </c>
    </row>
    <row r="250">
      <c r="J250" s="48">
        <f>IFERROR(IF(INDEX(tblHistory[Date],249)&gt;MAX(tblHistory[Date])-364,INDEX(tblHistory[Date],249),""),"")</f>
        <v/>
      </c>
      <c r="K250" s="46">
        <f>IF(J250="",NA(),IFERROR(INDEX(tblHistory[EquityP],249),NA()))</f>
        <v/>
      </c>
      <c r="L250" s="46">
        <f>IF(J250="",NA(),IFERROR(INDEX(tblHistory[FinP],249),NA()))</f>
        <v/>
      </c>
      <c r="M250" s="46">
        <f>IF(J250="",NA(),IFERROR(INDEX(tblHistory[CreditP],249),NA()))</f>
        <v/>
      </c>
      <c r="N250" s="46">
        <f>IF(J250="",NA(),IFERROR(INDEX(tblHistory[Score],249),NA()))</f>
        <v/>
      </c>
    </row>
    <row r="251">
      <c r="J251" s="48">
        <f>IFERROR(IF(INDEX(tblHistory[Date],250)&gt;MAX(tblHistory[Date])-364,INDEX(tblHistory[Date],250),""),"")</f>
        <v/>
      </c>
      <c r="K251" s="46">
        <f>IF(J251="",NA(),IFERROR(INDEX(tblHistory[EquityP],250),NA()))</f>
        <v/>
      </c>
      <c r="L251" s="46">
        <f>IF(J251="",NA(),IFERROR(INDEX(tblHistory[FinP],250),NA()))</f>
        <v/>
      </c>
      <c r="M251" s="46">
        <f>IF(J251="",NA(),IFERROR(INDEX(tblHistory[CreditP],250),NA()))</f>
        <v/>
      </c>
      <c r="N251" s="46">
        <f>IF(J251="",NA(),IFERROR(INDEX(tblHistory[Score],250),NA()))</f>
        <v/>
      </c>
    </row>
    <row r="252">
      <c r="J252" s="48">
        <f>IFERROR(IF(INDEX(tblHistory[Date],251)&gt;MAX(tblHistory[Date])-364,INDEX(tblHistory[Date],251),""),"")</f>
        <v/>
      </c>
      <c r="K252" s="46">
        <f>IF(J252="",NA(),IFERROR(INDEX(tblHistory[EquityP],251),NA()))</f>
        <v/>
      </c>
      <c r="L252" s="46">
        <f>IF(J252="",NA(),IFERROR(INDEX(tblHistory[FinP],251),NA()))</f>
        <v/>
      </c>
      <c r="M252" s="46">
        <f>IF(J252="",NA(),IFERROR(INDEX(tblHistory[CreditP],251),NA()))</f>
        <v/>
      </c>
      <c r="N252" s="46">
        <f>IF(J252="",NA(),IFERROR(INDEX(tblHistory[Score],251),NA()))</f>
        <v/>
      </c>
    </row>
    <row r="253">
      <c r="J253" s="48">
        <f>IFERROR(IF(INDEX(tblHistory[Date],252)&gt;MAX(tblHistory[Date])-364,INDEX(tblHistory[Date],252),""),"")</f>
        <v/>
      </c>
      <c r="K253" s="46">
        <f>IF(J253="",NA(),IFERROR(INDEX(tblHistory[EquityP],252),NA()))</f>
        <v/>
      </c>
      <c r="L253" s="46">
        <f>IF(J253="",NA(),IFERROR(INDEX(tblHistory[FinP],252),NA()))</f>
        <v/>
      </c>
      <c r="M253" s="46">
        <f>IF(J253="",NA(),IFERROR(INDEX(tblHistory[CreditP],252),NA()))</f>
        <v/>
      </c>
      <c r="N253" s="46">
        <f>IF(J253="",NA(),IFERROR(INDEX(tblHistory[Score],252),NA()))</f>
        <v/>
      </c>
    </row>
    <row r="254">
      <c r="J254" s="48">
        <f>IFERROR(IF(INDEX(tblHistory[Date],253)&gt;MAX(tblHistory[Date])-364,INDEX(tblHistory[Date],253),""),"")</f>
        <v/>
      </c>
      <c r="K254" s="46">
        <f>IF(J254="",NA(),IFERROR(INDEX(tblHistory[EquityP],253),NA()))</f>
        <v/>
      </c>
      <c r="L254" s="46">
        <f>IF(J254="",NA(),IFERROR(INDEX(tblHistory[FinP],253),NA()))</f>
        <v/>
      </c>
      <c r="M254" s="46">
        <f>IF(J254="",NA(),IFERROR(INDEX(tblHistory[CreditP],253),NA()))</f>
        <v/>
      </c>
      <c r="N254" s="46">
        <f>IF(J254="",NA(),IFERROR(INDEX(tblHistory[Score],253),NA()))</f>
        <v/>
      </c>
    </row>
    <row r="255">
      <c r="J255" s="48">
        <f>IFERROR(IF(INDEX(tblHistory[Date],254)&gt;MAX(tblHistory[Date])-364,INDEX(tblHistory[Date],254),""),"")</f>
        <v/>
      </c>
      <c r="K255" s="46">
        <f>IF(J255="",NA(),IFERROR(INDEX(tblHistory[EquityP],254),NA()))</f>
        <v/>
      </c>
      <c r="L255" s="46">
        <f>IF(J255="",NA(),IFERROR(INDEX(tblHistory[FinP],254),NA()))</f>
        <v/>
      </c>
      <c r="M255" s="46">
        <f>IF(J255="",NA(),IFERROR(INDEX(tblHistory[CreditP],254),NA()))</f>
        <v/>
      </c>
      <c r="N255" s="46">
        <f>IF(J255="",NA(),IFERROR(INDEX(tblHistory[Score],254),NA()))</f>
        <v/>
      </c>
    </row>
    <row r="256">
      <c r="J256" s="48">
        <f>IFERROR(IF(INDEX(tblHistory[Date],255)&gt;MAX(tblHistory[Date])-364,INDEX(tblHistory[Date],255),""),"")</f>
        <v/>
      </c>
      <c r="K256" s="46">
        <f>IF(J256="",NA(),IFERROR(INDEX(tblHistory[EquityP],255),NA()))</f>
        <v/>
      </c>
      <c r="L256" s="46">
        <f>IF(J256="",NA(),IFERROR(INDEX(tblHistory[FinP],255),NA()))</f>
        <v/>
      </c>
      <c r="M256" s="46">
        <f>IF(J256="",NA(),IFERROR(INDEX(tblHistory[CreditP],255),NA()))</f>
        <v/>
      </c>
      <c r="N256" s="46">
        <f>IF(J256="",NA(),IFERROR(INDEX(tblHistory[Score],255),NA()))</f>
        <v/>
      </c>
    </row>
    <row r="257">
      <c r="J257" s="48">
        <f>IFERROR(IF(INDEX(tblHistory[Date],256)&gt;MAX(tblHistory[Date])-364,INDEX(tblHistory[Date],256),""),"")</f>
        <v/>
      </c>
      <c r="K257" s="46">
        <f>IF(J257="",NA(),IFERROR(INDEX(tblHistory[EquityP],256),NA()))</f>
        <v/>
      </c>
      <c r="L257" s="46">
        <f>IF(J257="",NA(),IFERROR(INDEX(tblHistory[FinP],256),NA()))</f>
        <v/>
      </c>
      <c r="M257" s="46">
        <f>IF(J257="",NA(),IFERROR(INDEX(tblHistory[CreditP],256),NA()))</f>
        <v/>
      </c>
      <c r="N257" s="46">
        <f>IF(J257="",NA(),IFERROR(INDEX(tblHistory[Score],256),NA()))</f>
        <v/>
      </c>
    </row>
    <row r="258">
      <c r="J258" s="48">
        <f>IFERROR(IF(INDEX(tblHistory[Date],257)&gt;MAX(tblHistory[Date])-364,INDEX(tblHistory[Date],257),""),"")</f>
        <v/>
      </c>
      <c r="K258" s="46">
        <f>IF(J258="",NA(),IFERROR(INDEX(tblHistory[EquityP],257),NA()))</f>
        <v/>
      </c>
      <c r="L258" s="46">
        <f>IF(J258="",NA(),IFERROR(INDEX(tblHistory[FinP],257),NA()))</f>
        <v/>
      </c>
      <c r="M258" s="46">
        <f>IF(J258="",NA(),IFERROR(INDEX(tblHistory[CreditP],257),NA()))</f>
        <v/>
      </c>
      <c r="N258" s="46">
        <f>IF(J258="",NA(),IFERROR(INDEX(tblHistory[Score],257),NA()))</f>
        <v/>
      </c>
    </row>
    <row r="259">
      <c r="J259" s="48">
        <f>IFERROR(IF(INDEX(tblHistory[Date],258)&gt;MAX(tblHistory[Date])-364,INDEX(tblHistory[Date],258),""),"")</f>
        <v/>
      </c>
      <c r="K259" s="46">
        <f>IF(J259="",NA(),IFERROR(INDEX(tblHistory[EquityP],258),NA()))</f>
        <v/>
      </c>
      <c r="L259" s="46">
        <f>IF(J259="",NA(),IFERROR(INDEX(tblHistory[FinP],258),NA()))</f>
        <v/>
      </c>
      <c r="M259" s="46">
        <f>IF(J259="",NA(),IFERROR(INDEX(tblHistory[CreditP],258),NA()))</f>
        <v/>
      </c>
      <c r="N259" s="46">
        <f>IF(J259="",NA(),IFERROR(INDEX(tblHistory[Score],258),NA()))</f>
        <v/>
      </c>
    </row>
    <row r="260">
      <c r="J260" s="48">
        <f>IFERROR(IF(INDEX(tblHistory[Date],259)&gt;MAX(tblHistory[Date])-364,INDEX(tblHistory[Date],259),""),"")</f>
        <v/>
      </c>
      <c r="K260" s="46">
        <f>IF(J260="",NA(),IFERROR(INDEX(tblHistory[EquityP],259),NA()))</f>
        <v/>
      </c>
      <c r="L260" s="46">
        <f>IF(J260="",NA(),IFERROR(INDEX(tblHistory[FinP],259),NA()))</f>
        <v/>
      </c>
      <c r="M260" s="46">
        <f>IF(J260="",NA(),IFERROR(INDEX(tblHistory[CreditP],259),NA()))</f>
        <v/>
      </c>
      <c r="N260" s="46">
        <f>IF(J260="",NA(),IFERROR(INDEX(tblHistory[Score],259),NA()))</f>
        <v/>
      </c>
    </row>
    <row r="261">
      <c r="J261" s="48">
        <f>IFERROR(IF(INDEX(tblHistory[Date],260)&gt;MAX(tblHistory[Date])-364,INDEX(tblHistory[Date],260),""),"")</f>
        <v/>
      </c>
      <c r="K261" s="46">
        <f>IF(J261="",NA(),IFERROR(INDEX(tblHistory[EquityP],260),NA()))</f>
        <v/>
      </c>
      <c r="L261" s="46">
        <f>IF(J261="",NA(),IFERROR(INDEX(tblHistory[FinP],260),NA()))</f>
        <v/>
      </c>
      <c r="M261" s="46">
        <f>IF(J261="",NA(),IFERROR(INDEX(tblHistory[CreditP],260),NA()))</f>
        <v/>
      </c>
      <c r="N261" s="46">
        <f>IF(J261="",NA(),IFERROR(INDEX(tblHistory[Score],260),NA()))</f>
        <v/>
      </c>
    </row>
    <row r="262">
      <c r="J262" s="48">
        <f>IFERROR(IF(INDEX(tblHistory[Date],261)&gt;MAX(tblHistory[Date])-364,INDEX(tblHistory[Date],261),""),"")</f>
        <v/>
      </c>
      <c r="K262" s="46">
        <f>IF(J262="",NA(),IFERROR(INDEX(tblHistory[EquityP],261),NA()))</f>
        <v/>
      </c>
      <c r="L262" s="46">
        <f>IF(J262="",NA(),IFERROR(INDEX(tblHistory[FinP],261),NA()))</f>
        <v/>
      </c>
      <c r="M262" s="46">
        <f>IF(J262="",NA(),IFERROR(INDEX(tblHistory[CreditP],261),NA()))</f>
        <v/>
      </c>
      <c r="N262" s="46">
        <f>IF(J262="",NA(),IFERROR(INDEX(tblHistory[Score],261),NA()))</f>
        <v/>
      </c>
    </row>
    <row r="263">
      <c r="J263" s="48">
        <f>IFERROR(IF(INDEX(tblHistory[Date],262)&gt;MAX(tblHistory[Date])-364,INDEX(tblHistory[Date],262),""),"")</f>
        <v/>
      </c>
      <c r="K263" s="46">
        <f>IF(J263="",NA(),IFERROR(INDEX(tblHistory[EquityP],262),NA()))</f>
        <v/>
      </c>
      <c r="L263" s="46">
        <f>IF(J263="",NA(),IFERROR(INDEX(tblHistory[FinP],262),NA()))</f>
        <v/>
      </c>
      <c r="M263" s="46">
        <f>IF(J263="",NA(),IFERROR(INDEX(tblHistory[CreditP],262),NA()))</f>
        <v/>
      </c>
      <c r="N263" s="46">
        <f>IF(J263="",NA(),IFERROR(INDEX(tblHistory[Score],262),NA()))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2026-10-27T22:49:23Z</dcterms:created>
  <dcterms:modified xsi:type="dcterms:W3CDTF">2026-10-27T22:49:25Z</dcterms:modified>
</cp:coreProperties>
</file>